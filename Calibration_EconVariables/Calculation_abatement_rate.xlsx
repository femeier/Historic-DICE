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rickels\Dropbox\Historic_DICE_Dropbox\Data\Calibration_EconVariables\"/>
    </mc:Choice>
  </mc:AlternateContent>
  <xr:revisionPtr revIDLastSave="0" documentId="8_{C19461D3-63CC-4436-BEDF-3345001C6A0A}" xr6:coauthVersionLast="36" xr6:coauthVersionMax="36" xr10:uidLastSave="{00000000-0000-0000-0000-000000000000}"/>
  <bookViews>
    <workbookView xWindow="0" yWindow="456" windowWidth="26460" windowHeight="13140" xr2:uid="{00000000-000D-0000-FFFF-FFFF00000000}"/>
  </bookViews>
  <sheets>
    <sheet name="Sheet 1 - export_20210427_1250" sheetId="1" r:id="rId1"/>
  </sheets>
  <calcPr calcId="191029"/>
</workbook>
</file>

<file path=xl/calcChain.xml><?xml version="1.0" encoding="utf-8"?>
<calcChain xmlns="http://schemas.openxmlformats.org/spreadsheetml/2006/main">
  <c r="HO63" i="1" l="1"/>
  <c r="HP63" i="1" s="1"/>
  <c r="HQ63" i="1" s="1"/>
  <c r="HT63" i="1" s="1"/>
  <c r="HO62" i="1"/>
  <c r="HP62" i="1" s="1"/>
  <c r="HQ62" i="1" s="1"/>
  <c r="HT62" i="1" s="1"/>
  <c r="HO61" i="1"/>
  <c r="HP61" i="1" s="1"/>
  <c r="HQ61" i="1" s="1"/>
  <c r="HT61" i="1" s="1"/>
  <c r="HO60" i="1"/>
  <c r="HP60" i="1" s="1"/>
  <c r="HQ60" i="1" s="1"/>
  <c r="HT60" i="1" s="1"/>
  <c r="HO59" i="1"/>
  <c r="HP59" i="1" s="1"/>
  <c r="HQ59" i="1" s="1"/>
  <c r="HT59" i="1" s="1"/>
  <c r="HO58" i="1"/>
  <c r="HP58" i="1" s="1"/>
  <c r="HQ58" i="1" s="1"/>
  <c r="HT58" i="1" s="1"/>
  <c r="HO57" i="1"/>
  <c r="HP57" i="1" s="1"/>
  <c r="HQ57" i="1" s="1"/>
  <c r="HT57" i="1" s="1"/>
  <c r="HO56" i="1"/>
  <c r="HP56" i="1" s="1"/>
  <c r="HQ56" i="1" s="1"/>
  <c r="HT56" i="1" s="1"/>
  <c r="HO55" i="1"/>
  <c r="HP55" i="1" s="1"/>
  <c r="HQ55" i="1" s="1"/>
  <c r="HT55" i="1" s="1"/>
  <c r="HO54" i="1"/>
  <c r="HP54" i="1" s="1"/>
  <c r="HQ54" i="1" s="1"/>
  <c r="HT54" i="1" s="1"/>
  <c r="HO53" i="1"/>
  <c r="HP53" i="1" s="1"/>
  <c r="HQ53" i="1" s="1"/>
  <c r="HT53" i="1" s="1"/>
  <c r="HO52" i="1"/>
  <c r="HP52" i="1" s="1"/>
  <c r="HQ52" i="1" s="1"/>
  <c r="HT52" i="1" s="1"/>
  <c r="HO51" i="1"/>
  <c r="HP51" i="1" s="1"/>
  <c r="HQ51" i="1" s="1"/>
  <c r="HT51" i="1" s="1"/>
  <c r="HO50" i="1"/>
  <c r="HP50" i="1" s="1"/>
  <c r="HQ50" i="1" s="1"/>
  <c r="HT50" i="1" s="1"/>
  <c r="HO49" i="1"/>
  <c r="HP49" i="1" s="1"/>
  <c r="HQ49" i="1" s="1"/>
  <c r="HT49" i="1" s="1"/>
  <c r="HO48" i="1"/>
  <c r="HP48" i="1" s="1"/>
  <c r="HQ48" i="1" s="1"/>
  <c r="HO47" i="1"/>
  <c r="HP47" i="1" s="1"/>
  <c r="HQ47" i="1" s="1"/>
  <c r="HO46" i="1"/>
  <c r="HP46" i="1" s="1"/>
  <c r="HQ46" i="1" s="1"/>
  <c r="HO45" i="1"/>
  <c r="HP45" i="1" s="1"/>
  <c r="HQ45" i="1" s="1"/>
  <c r="HO44" i="1"/>
  <c r="HP44" i="1" s="1"/>
  <c r="HQ44" i="1" s="1"/>
  <c r="HO43" i="1"/>
  <c r="HP43" i="1" s="1"/>
  <c r="HQ43" i="1" s="1"/>
  <c r="HO42" i="1"/>
  <c r="HP42" i="1" s="1"/>
  <c r="HQ42" i="1" s="1"/>
  <c r="HO41" i="1"/>
  <c r="HP41" i="1" s="1"/>
  <c r="HQ41" i="1" s="1"/>
  <c r="HO40" i="1"/>
  <c r="HP40" i="1" s="1"/>
  <c r="HQ40" i="1" s="1"/>
  <c r="HO39" i="1"/>
  <c r="HP39" i="1" s="1"/>
  <c r="HQ39" i="1" s="1"/>
  <c r="HO38" i="1"/>
  <c r="HP38" i="1" s="1"/>
  <c r="HQ38" i="1" s="1"/>
  <c r="HO37" i="1"/>
  <c r="HP37" i="1" s="1"/>
  <c r="HQ37" i="1" s="1"/>
  <c r="HO36" i="1"/>
  <c r="HP36" i="1" s="1"/>
  <c r="HQ36" i="1" s="1"/>
  <c r="HO35" i="1"/>
  <c r="HP35" i="1" s="1"/>
  <c r="HQ35" i="1" s="1"/>
  <c r="HO34" i="1"/>
  <c r="HP34" i="1" s="1"/>
  <c r="HQ34" i="1" s="1"/>
  <c r="HO33" i="1"/>
  <c r="HP33" i="1" s="1"/>
  <c r="HQ33" i="1" s="1"/>
  <c r="HO32" i="1"/>
  <c r="HP32" i="1" s="1"/>
  <c r="HQ32" i="1" s="1"/>
  <c r="HO31" i="1"/>
  <c r="HP31" i="1" s="1"/>
  <c r="HQ31" i="1" s="1"/>
  <c r="HO30" i="1"/>
  <c r="HP30" i="1" s="1"/>
  <c r="HQ30" i="1" s="1"/>
  <c r="HO29" i="1"/>
  <c r="HP29" i="1" s="1"/>
  <c r="HQ29" i="1" s="1"/>
  <c r="HO28" i="1"/>
  <c r="HP28" i="1" s="1"/>
  <c r="HQ28" i="1" s="1"/>
  <c r="HO27" i="1"/>
  <c r="HP27" i="1" s="1"/>
  <c r="HQ27" i="1" s="1"/>
  <c r="HO26" i="1"/>
  <c r="HP26" i="1" s="1"/>
  <c r="HQ26" i="1" s="1"/>
  <c r="HO25" i="1"/>
  <c r="HP25" i="1" s="1"/>
  <c r="HQ25" i="1" s="1"/>
  <c r="HO24" i="1"/>
  <c r="HP24" i="1" s="1"/>
  <c r="HQ24" i="1" s="1"/>
  <c r="HO23" i="1"/>
  <c r="HP23" i="1" s="1"/>
  <c r="HQ23" i="1" s="1"/>
  <c r="HO22" i="1"/>
  <c r="HP22" i="1" s="1"/>
  <c r="HQ22" i="1" s="1"/>
  <c r="HO21" i="1"/>
  <c r="HP21" i="1" s="1"/>
  <c r="HQ21" i="1" s="1"/>
  <c r="HO20" i="1"/>
  <c r="HP20" i="1" s="1"/>
  <c r="HQ20" i="1" s="1"/>
  <c r="HO19" i="1"/>
  <c r="HP19" i="1" s="1"/>
  <c r="HQ19" i="1" s="1"/>
  <c r="HO18" i="1"/>
  <c r="HP18" i="1" s="1"/>
  <c r="HQ18" i="1" s="1"/>
  <c r="HO17" i="1"/>
  <c r="HP17" i="1" s="1"/>
  <c r="HQ17" i="1" s="1"/>
  <c r="HO16" i="1"/>
  <c r="HP16" i="1" s="1"/>
  <c r="HQ16" i="1" s="1"/>
  <c r="HO15" i="1"/>
  <c r="HP15" i="1" s="1"/>
  <c r="HQ15" i="1" s="1"/>
  <c r="HO14" i="1"/>
  <c r="HP14" i="1" s="1"/>
  <c r="HQ14" i="1" s="1"/>
  <c r="HO13" i="1"/>
  <c r="HP13" i="1" s="1"/>
  <c r="HQ13" i="1" s="1"/>
  <c r="HO12" i="1"/>
  <c r="HP12" i="1" s="1"/>
  <c r="HQ12" i="1" s="1"/>
  <c r="HO11" i="1"/>
  <c r="HP11" i="1" s="1"/>
  <c r="HQ11" i="1" s="1"/>
  <c r="HO10" i="1"/>
  <c r="HP10" i="1" s="1"/>
  <c r="HQ10" i="1" s="1"/>
  <c r="HO9" i="1"/>
  <c r="HP9" i="1" s="1"/>
  <c r="HQ9" i="1" s="1"/>
  <c r="HO8" i="1"/>
  <c r="HP8" i="1" s="1"/>
  <c r="HQ8" i="1" s="1"/>
  <c r="HO7" i="1"/>
  <c r="HP7" i="1" s="1"/>
  <c r="HQ7" i="1" s="1"/>
  <c r="HO6" i="1"/>
  <c r="HP6" i="1" s="1"/>
  <c r="HQ6" i="1" s="1"/>
  <c r="HO5" i="1"/>
  <c r="HP5" i="1" s="1"/>
  <c r="HQ5" i="1" s="1"/>
  <c r="HO4" i="1"/>
  <c r="HP4" i="1" s="1"/>
  <c r="HQ4" i="1" s="1"/>
</calcChain>
</file>

<file path=xl/sharedStrings.xml><?xml version="1.0" encoding="utf-8"?>
<sst xmlns="http://schemas.openxmlformats.org/spreadsheetml/2006/main" count="228" uniqueCount="228">
  <si>
    <t>export_20210427_1250</t>
  </si>
  <si>
    <t>Territorial emissions in MtCO₂</t>
  </si>
  <si>
    <t>WORLD (MtCO2)</t>
  </si>
  <si>
    <t>WORLD (GtCO2)</t>
  </si>
  <si>
    <t>WORLD (GtC)</t>
  </si>
  <si>
    <t>RCP 8.5</t>
  </si>
  <si>
    <t>Abatement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</si>
  <si>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</si>
  <si>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</si>
  <si>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</si>
  <si>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</si>
  <si>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</si>
  <si>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</si>
  <si>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</si>
  <si>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</si>
  <si>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</si>
  <si>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</si>
  <si>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</si>
  <si>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</si>
  <si>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</si>
  <si>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</si>
  <si>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</si>
  <si>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</si>
  <si>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</si>
  <si>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</si>
  <si>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</si>
  <si>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</si>
  <si>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</si>
  <si>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</si>
  <si>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</si>
  <si>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</si>
  <si>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Saint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</si>
  <si>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</si>
  <si>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</si>
  <si>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</si>
  <si>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</si>
  <si>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</si>
  <si>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</si>
  <si>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</si>
  <si>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</si>
  <si>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</si>
  <si>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</si>
  <si>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</si>
  <si>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</si>
  <si>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</si>
  <si>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</si>
  <si>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</si>
  <si>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</si>
  <si>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</si>
  <si>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</si>
  <si>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</si>
  <si>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</si>
  <si>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</si>
  <si>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</si>
  <si>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</si>
  <si>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</si>
  <si>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</si>
  <si>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</si>
  <si>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</si>
  <si>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</si>
  <si>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</si>
  <si>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</si>
  <si>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</si>
  <si>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</si>
  <si>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</si>
  <si>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</si>
  <si>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</si>
  <si>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</si>
  <si>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</si>
  <si>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</si>
  <si>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</si>
  <si>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</si>
  <si>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</si>
  <si>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</si>
  <si>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</si>
  <si>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</si>
  <si>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</si>
  <si>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</si>
  <si>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</si>
  <si>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</si>
  <si>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</si>
  <si>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</si>
  <si>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</si>
  <si>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</si>
  <si>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</si>
  <si>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</si>
  <si>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</si>
  <si>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</si>
  <si>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</si>
  <si>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</si>
  <si>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</si>
  <si>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</si>
  <si>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</si>
  <si>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</si>
  <si>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</si>
  <si>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</si>
  <si>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</si>
  <si>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</si>
  <si>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</si>
  <si>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</si>
  <si>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</si>
  <si>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</si>
  <si>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</si>
  <si>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</si>
  <si>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</si>
  <si>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</si>
  <si>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</si>
  <si>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</si>
  <si>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</si>
  <si>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</si>
  <si>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</si>
  <si>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</si>
  <si>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</si>
  <si>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</si>
  <si>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</si>
  <si>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</si>
  <si>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</si>
  <si>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</si>
  <si>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</si>
  <si>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</si>
  <si>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</si>
  <si>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</si>
  <si>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</si>
  <si>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</si>
  <si>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</si>
  <si>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</si>
  <si>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</si>
  <si>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</si>
  <si>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</si>
  <si>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</si>
  <si>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</si>
  <si>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</si>
  <si>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</si>
  <si>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</si>
  <si>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</si>
  <si>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</si>
  <si>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</si>
  <si>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</si>
  <si>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</si>
  <si>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</si>
  <si>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</si>
  <si>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</si>
  <si>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</si>
  <si>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</si>
  <si>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</si>
  <si>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</si>
  <si>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</si>
  <si>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</si>
  <si>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</si>
  <si>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</si>
  <si>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</si>
  <si>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</si>
  <si>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</si>
  <si>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</si>
  <si>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</si>
  <si>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</si>
  <si>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</si>
  <si>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</si>
  <si>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</si>
  <si>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</si>
  <si>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</si>
  <si>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</si>
  <si>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</si>
  <si>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</si>
  <si>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</si>
  <si>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</si>
  <si>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</si>
  <si>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</si>
  <si>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South Sudan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</si>
  <si>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</si>
  <si>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</si>
  <si>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</si>
  <si>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</si>
  <si>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</si>
  <si>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</si>
  <si>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</si>
  <si>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</si>
  <si>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</si>
  <si>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</si>
  <si>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</si>
  <si>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</si>
  <si>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</si>
  <si>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</si>
  <si>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</si>
  <si>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</si>
  <si>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</si>
  <si>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</si>
  <si>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</si>
  <si>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</si>
  <si>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</si>
  <si>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</si>
  <si>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</si>
  <si>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</si>
  <si>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</si>
  <si>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</si>
  <si>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</si>
  <si>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</si>
  <si>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</si>
  <si>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</si>
  <si>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</si>
  <si>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</si>
  <si>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</si>
  <si>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</si>
  <si>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</si>
  <si>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</si>
  <si>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</si>
  <si>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</si>
  <si>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</si>
  <si>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</si>
  <si>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</si>
  <si>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</si>
  <si>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</si>
  <si>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</si>
  <si>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</si>
  <si>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</si>
  <si>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</si>
  <si>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</si>
  <si>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</si>
  <si>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</si>
  <si>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</si>
  <si>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</si>
  <si>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</si>
  <si>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</si>
  <si>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Wallis and Futuna Islands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</si>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</sst>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3" fillId="0" borderId="7" xfId="0" applyNumberFormat="1" applyFont="1" applyBorder="1" applyAlignment="1">
      <alignment vertical="center" wrapText="1" readingOrder="1"/>
    </xf>
    <xf numFmtId="0" fontId="3" fillId="0" borderId="7" xfId="0" applyFont="1" applyBorder="1" applyAlignment="1">
      <alignment vertical="center" wrapText="1" readingOrder="1"/>
    </xf>
    <xf numFmtId="0" fontId="2" fillId="3" borderId="5" xfId="0" applyFont="1" applyFill="1" applyBorder="1" applyAlignment="1">
      <alignment vertical="top"/>
    </xf>
    <xf numFmtId="0" fontId="0" fillId="0" borderId="6" xfId="0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B8B8B8"/>
      <rgbColor rgb="FFFEFFFE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3383800000000001"/>
          <c:y val="0.119951"/>
          <c:w val="0.65664"/>
          <c:h val="0.78552599999999995"/>
        </c:manualLayout>
      </c:layout>
      <c:lineChart>
        <c:grouping val="standard"/>
        <c:varyColors val="0"/>
        <c:ser>
          <c:idx val="0"/>
          <c:order val="0"/>
          <c:tx>
            <c:v>Calculated based on RCP8.5 emissions and actual emissions</c:v>
          </c:tx>
          <c:spPr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cat>
            <c:numRef>
              <c:f>'Sheet 1 - export_20210427_1250'!$A$49:$A$63</c:f>
              <c:numCache>
                <c:formatCode>General</c:formatCode>
                <c:ptCount val="15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numCache>
            </c:numRef>
          </c:cat>
          <c:val>
            <c:numRef>
              <c:f>'Sheet 1 - export_20210427_1250'!$HT$49:$HT$63</c:f>
              <c:numCache>
                <c:formatCode>General</c:formatCode>
                <c:ptCount val="15"/>
                <c:pt idx="0">
                  <c:v>2.5917411141704094E-2</c:v>
                </c:pt>
                <c:pt idx="1">
                  <c:v>1.8204183105373861E-2</c:v>
                </c:pt>
                <c:pt idx="2">
                  <c:v>1.2520047050851191E-2</c:v>
                </c:pt>
                <c:pt idx="3">
                  <c:v>1.4261169995341993E-2</c:v>
                </c:pt>
                <c:pt idx="4">
                  <c:v>4.9457493591476109E-2</c:v>
                </c:pt>
                <c:pt idx="5">
                  <c:v>2.0764055366253475E-2</c:v>
                </c:pt>
                <c:pt idx="6">
                  <c:v>1.7468506394904826E-2</c:v>
                </c:pt>
                <c:pt idx="7">
                  <c:v>2.8501106577231483E-2</c:v>
                </c:pt>
                <c:pt idx="8">
                  <c:v>4.8715359343931119E-2</c:v>
                </c:pt>
                <c:pt idx="9">
                  <c:v>6.6859449893257317E-2</c:v>
                </c:pt>
                <c:pt idx="10">
                  <c:v>9.2658857751171775E-2</c:v>
                </c:pt>
                <c:pt idx="11">
                  <c:v>0.11547478915777409</c:v>
                </c:pt>
                <c:pt idx="12">
                  <c:v>0.12647908941810027</c:v>
                </c:pt>
                <c:pt idx="13">
                  <c:v>0.1297568758095663</c:v>
                </c:pt>
                <c:pt idx="14">
                  <c:v>0.14938937522352203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A-8C4E-9610-416340B48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sz="1600" b="0" i="0" u="none" strike="noStrike">
                <a:solidFill>
                  <a:srgbClr val="000000"/>
                </a:solidFill>
                <a:latin typeface="Helvetica Neue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tickLblSkip val="2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sz="1600" b="0" i="0" u="none" strike="noStrik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lang="de-DE" sz="1600" b="0" i="0" u="none" strike="noStrike">
                    <a:solidFill>
                      <a:srgbClr val="000000"/>
                    </a:solidFill>
                    <a:latin typeface="Helvetica Neue"/>
                  </a:rPr>
                  <a:t>Abatement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sz="1600" b="0" i="0" u="none" strike="noStrike">
                <a:solidFill>
                  <a:srgbClr val="000000"/>
                </a:solidFill>
                <a:latin typeface="Helvetica Neue"/>
              </a:defRPr>
            </a:pPr>
            <a:endParaRPr lang="en-US"/>
          </a:p>
        </c:txPr>
        <c:crossAx val="2094734552"/>
        <c:crosses val="autoZero"/>
        <c:crossBetween val="midCat"/>
        <c:majorUnit val="0.04"/>
        <c:minorUnit val="0.02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1368"/>
          <c:y val="0"/>
          <c:w val="0.88632"/>
          <c:h val="8.1742599999999999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600" b="0" i="0" u="none" strike="noStrike">
              <a:solidFill>
                <a:srgbClr val="000000"/>
              </a:solidFill>
              <a:latin typeface="Helvetica Neue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832621</xdr:colOff>
      <xdr:row>70</xdr:row>
      <xdr:rowOff>100445</xdr:rowOff>
    </xdr:from>
    <xdr:to>
      <xdr:col>9</xdr:col>
      <xdr:colOff>93753</xdr:colOff>
      <xdr:row>85</xdr:row>
      <xdr:rowOff>237948</xdr:rowOff>
    </xdr:to>
    <xdr:graphicFrame macro="">
      <xdr:nvGraphicFramePr>
        <xdr:cNvPr id="2" name="2D Line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W66"/>
  <sheetViews>
    <sheetView showGridLines="0" tabSelected="1" topLeftCell="HE1" zoomScale="75" workbookViewId="0">
      <selection activeCell="HU52" sqref="HU52"/>
    </sheetView>
  </sheetViews>
  <sheetFormatPr baseColWidth="10" defaultColWidth="8.33203125" defaultRowHeight="19.95" customHeight="1"/>
  <cols>
    <col min="1" max="1" width="25.109375" style="1" customWidth="1"/>
    <col min="2" max="2" width="10.33203125" style="1" customWidth="1"/>
    <col min="3" max="3" width="7" style="1" customWidth="1"/>
    <col min="4" max="4" width="8.44140625" style="1" customWidth="1"/>
    <col min="5" max="6" width="7.44140625" style="1" customWidth="1"/>
    <col min="7" max="7" width="8.44140625" style="1" customWidth="1"/>
    <col min="8" max="8" width="17.33203125" style="1" customWidth="1"/>
    <col min="9" max="9" width="8.44140625" style="1" customWidth="1"/>
    <col min="10" max="10" width="7.6640625" style="1" customWidth="1"/>
    <col min="11" max="11" width="7.44140625" style="1" customWidth="1"/>
    <col min="12" max="12" width="8.44140625" style="1" customWidth="1"/>
    <col min="13" max="13" width="7.44140625" style="1" customWidth="1"/>
    <col min="14" max="14" width="9.109375" style="1" customWidth="1"/>
    <col min="15" max="15" width="8.44140625" style="1" customWidth="1"/>
    <col min="16" max="16" width="7.44140625" style="1" customWidth="1"/>
    <col min="17" max="17" width="10.33203125" style="1" customWidth="1"/>
    <col min="18" max="18" width="8.6640625" style="1" customWidth="1"/>
    <col min="19" max="21" width="8.44140625" style="1" customWidth="1"/>
    <col min="22" max="22" width="7.44140625" style="1" customWidth="1"/>
    <col min="23" max="23" width="8.33203125" style="1" customWidth="1"/>
    <col min="24" max="24" width="8.44140625" style="1" customWidth="1"/>
    <col min="25" max="25" width="7.44140625" style="1" customWidth="1"/>
    <col min="26" max="26" width="26.77734375" style="1" customWidth="1"/>
    <col min="27" max="27" width="19.6640625" style="1" customWidth="1"/>
    <col min="28" max="28" width="8.77734375" style="1" customWidth="1"/>
    <col min="29" max="29" width="8.44140625" style="1" customWidth="1"/>
    <col min="30" max="30" width="16.44140625" style="1" customWidth="1"/>
    <col min="31" max="31" width="15.44140625" style="1" customWidth="1"/>
    <col min="32" max="32" width="7.6640625" style="1" customWidth="1"/>
    <col min="33" max="33" width="11.33203125" style="1" customWidth="1"/>
    <col min="34" max="34" width="8.44140625" style="1" customWidth="1"/>
    <col min="35" max="35" width="9.109375" style="1" customWidth="1"/>
    <col min="36" max="36" width="9.33203125" style="1" customWidth="1"/>
    <col min="37" max="37" width="8.44140625" style="1" customWidth="1"/>
    <col min="38" max="38" width="10.109375" style="1" customWidth="1"/>
    <col min="39" max="39" width="13.33203125" style="1" customWidth="1"/>
    <col min="40" max="40" width="19.44140625" style="1" customWidth="1"/>
    <col min="41" max="41" width="8.44140625" style="1" customWidth="1"/>
    <col min="42" max="42" width="7.44140625" style="1" customWidth="1"/>
    <col min="43" max="43" width="10.33203125" style="1" customWidth="1"/>
    <col min="44" max="44" width="8.6640625" style="1" customWidth="1"/>
    <col min="45" max="45" width="8.44140625" style="1" customWidth="1"/>
    <col min="46" max="46" width="7.44140625" style="1" customWidth="1"/>
    <col min="47" max="47" width="11.109375" style="1" customWidth="1"/>
    <col min="48" max="48" width="9.6640625" style="1" customWidth="1"/>
    <col min="49" max="49" width="11" style="1" customWidth="1"/>
    <col min="50" max="51" width="7.44140625" style="1" customWidth="1"/>
    <col min="52" max="52" width="7.77734375" style="1" customWidth="1"/>
    <col min="53" max="53" width="7.44140625" style="1" customWidth="1"/>
    <col min="54" max="54" width="13.109375" style="1" customWidth="1"/>
    <col min="55" max="55" width="27.33203125" style="1" customWidth="1"/>
    <col min="56" max="56" width="8.109375" style="1" customWidth="1"/>
    <col min="57" max="58" width="8.44140625" style="1" customWidth="1"/>
    <col min="59" max="59" width="16.44140625" style="1" customWidth="1"/>
    <col min="60" max="60" width="7.6640625" style="1" customWidth="1"/>
    <col min="61" max="61" width="8.44140625" style="1" customWidth="1"/>
    <col min="62" max="62" width="9.77734375" style="1" customWidth="1"/>
    <col min="63" max="63" width="14.6640625" style="1" customWidth="1"/>
    <col min="64" max="66" width="7.44140625" style="1" customWidth="1"/>
    <col min="67" max="67" width="12.33203125" style="1" customWidth="1"/>
    <col min="68" max="68" width="21.33203125" style="1" customWidth="1"/>
    <col min="69" max="70" width="7.44140625" style="1" customWidth="1"/>
    <col min="71" max="71" width="8.44140625" style="1" customWidth="1"/>
    <col min="72" max="72" width="12.33203125" style="1" customWidth="1"/>
    <col min="73" max="73" width="14.109375" style="1" customWidth="1"/>
    <col min="74" max="75" width="8.44140625" style="1" customWidth="1"/>
    <col min="76" max="76" width="7.44140625" style="1" customWidth="1"/>
    <col min="77" max="77" width="9.33203125" style="1" customWidth="1"/>
    <col min="78" max="78" width="7.44140625" style="1" customWidth="1"/>
    <col min="79" max="79" width="7.77734375" style="1" customWidth="1"/>
    <col min="80" max="80" width="8.44140625" style="1" customWidth="1"/>
    <col min="81" max="81" width="9.109375" style="1" customWidth="1"/>
    <col min="82" max="82" width="8.44140625" style="1" customWidth="1"/>
    <col min="83" max="83" width="10.44140625" style="1" customWidth="1"/>
    <col min="84" max="84" width="9.44140625" style="1" customWidth="1"/>
    <col min="85" max="85" width="7.44140625" style="1" customWidth="1"/>
    <col min="86" max="86" width="12.33203125" style="1" customWidth="1"/>
    <col min="87" max="88" width="7.44140625" style="1" customWidth="1"/>
    <col min="89" max="89" width="8.77734375" style="1" customWidth="1"/>
    <col min="90" max="90" width="10" style="1" customWidth="1"/>
    <col min="91" max="91" width="7.77734375" style="1" customWidth="1"/>
    <col min="92" max="92" width="6.77734375" style="1" customWidth="1"/>
    <col min="93" max="93" width="9.33203125" style="1" customWidth="1"/>
    <col min="94" max="94" width="8.6640625" style="1" customWidth="1"/>
    <col min="95" max="96" width="8.44140625" style="1" customWidth="1"/>
    <col min="97" max="98" width="7.44140625" style="1" customWidth="1"/>
    <col min="99" max="99" width="8.44140625" style="1" customWidth="1"/>
    <col min="100" max="100" width="7.6640625" style="1" customWidth="1"/>
    <col min="101" max="101" width="9.33203125" style="1" customWidth="1"/>
    <col min="102" max="102" width="7.44140625" style="1" customWidth="1"/>
    <col min="103" max="103" width="10.109375" style="1" customWidth="1"/>
    <col min="104" max="104" width="7.44140625" style="1" customWidth="1"/>
    <col min="105" max="105" width="8.44140625" style="1" customWidth="1"/>
    <col min="106" max="106" width="7.109375" style="1" customWidth="1"/>
    <col min="107" max="107" width="8.44140625" style="1" customWidth="1"/>
    <col min="108" max="108" width="9.6640625" style="1" customWidth="1"/>
    <col min="109" max="109" width="8.44140625" style="1" customWidth="1"/>
    <col min="110" max="110" width="7.44140625" style="1" customWidth="1"/>
    <col min="111" max="111" width="8" style="1" customWidth="1"/>
    <col min="112" max="114" width="7.44140625" style="1" customWidth="1"/>
    <col min="115" max="115" width="11.33203125" style="1" customWidth="1"/>
    <col min="116" max="116" width="8.109375" style="1" customWidth="1"/>
    <col min="117" max="117" width="10.77734375" style="1" customWidth="1"/>
    <col min="118" max="118" width="8.44140625" style="1" customWidth="1"/>
    <col min="119" max="119" width="10.6640625" style="1" customWidth="1"/>
    <col min="120" max="120" width="7.44140625" style="1" customWidth="1"/>
    <col min="121" max="122" width="8.44140625" style="1" customWidth="1"/>
    <col min="123" max="124" width="7.44140625" style="1" customWidth="1"/>
    <col min="125" max="125" width="13.44140625" style="1" customWidth="1"/>
    <col min="126" max="127" width="9.33203125" style="1" customWidth="1"/>
    <col min="128" max="128" width="8.33203125" style="1" customWidth="1"/>
    <col min="129" max="129" width="8.44140625" style="1" customWidth="1"/>
    <col min="130" max="130" width="25.6640625" style="1" customWidth="1"/>
    <col min="131" max="131" width="8" style="1" customWidth="1"/>
    <col min="132" max="132" width="8.33203125" style="1" customWidth="1"/>
    <col min="133" max="133" width="10.44140625" style="1" customWidth="1"/>
    <col min="134" max="134" width="9.6640625" style="1" customWidth="1"/>
    <col min="135" max="135" width="8.109375" style="1" customWidth="1"/>
    <col min="136" max="136" width="11.109375" style="1" customWidth="1"/>
    <col min="137" max="137" width="8.44140625" style="1" customWidth="1"/>
    <col min="138" max="138" width="7.6640625" style="1" customWidth="1"/>
    <col min="139" max="140" width="8.44140625" style="1" customWidth="1"/>
    <col min="141" max="141" width="10.44140625" style="1" customWidth="1"/>
    <col min="142" max="142" width="12.77734375" style="1" customWidth="1"/>
    <col min="143" max="143" width="11.33203125" style="1" customWidth="1"/>
    <col min="144" max="144" width="9" style="1" customWidth="1"/>
    <col min="145" max="146" width="8.44140625" style="1" customWidth="1"/>
    <col min="147" max="147" width="9.33203125" style="1" customWidth="1"/>
    <col min="148" max="148" width="10.44140625" style="1" customWidth="1"/>
    <col min="149" max="149" width="14.33203125" style="1" customWidth="1"/>
    <col min="150" max="150" width="7.44140625" style="1" customWidth="1"/>
    <col min="151" max="151" width="23.6640625" style="1" customWidth="1"/>
    <col min="152" max="153" width="8.44140625" style="1" customWidth="1"/>
    <col min="154" max="154" width="7.44140625" style="1" customWidth="1"/>
    <col min="155" max="155" width="7.6640625" style="1" customWidth="1"/>
    <col min="156" max="156" width="15.77734375" style="1" customWidth="1"/>
    <col min="157" max="157" width="8.44140625" style="1" customWidth="1"/>
    <col min="158" max="158" width="7.44140625" style="1" customWidth="1"/>
    <col min="159" max="159" width="9.6640625" style="1" customWidth="1"/>
    <col min="160" max="160" width="8.44140625" style="1" customWidth="1"/>
    <col min="161" max="161" width="7.6640625" style="1" customWidth="1"/>
    <col min="162" max="162" width="8.44140625" style="1" customWidth="1"/>
    <col min="163" max="163" width="20.109375" style="1" customWidth="1"/>
    <col min="164" max="164" width="7.6640625" style="1" customWidth="1"/>
    <col min="165" max="165" width="8.44140625" style="1" customWidth="1"/>
    <col min="166" max="166" width="15.77734375" style="1" customWidth="1"/>
    <col min="167" max="167" width="8.44140625" style="1" customWidth="1"/>
    <col min="168" max="168" width="11" style="1" customWidth="1"/>
    <col min="169" max="169" width="17" style="1" customWidth="1"/>
    <col min="170" max="170" width="9.6640625" style="1" customWidth="1"/>
    <col min="171" max="171" width="20.6640625" style="1" customWidth="1"/>
    <col min="172" max="172" width="26.33203125" style="1" customWidth="1"/>
    <col min="173" max="173" width="8.44140625" style="1" customWidth="1"/>
    <col min="174" max="174" width="18.6640625" style="1" customWidth="1"/>
    <col min="175" max="175" width="11" style="1" customWidth="1"/>
    <col min="176" max="177" width="7.44140625" style="1" customWidth="1"/>
    <col min="178" max="178" width="9.44140625" style="1" customWidth="1"/>
    <col min="179" max="179" width="10.77734375" style="1" customWidth="1"/>
    <col min="180" max="180" width="9" style="1" customWidth="1"/>
    <col min="181" max="181" width="7.6640625" style="1" customWidth="1"/>
    <col min="182" max="182" width="7.77734375" style="1" customWidth="1"/>
    <col min="183" max="183" width="13.77734375" style="1" customWidth="1"/>
    <col min="184" max="184" width="8.44140625" style="1" customWidth="1"/>
    <col min="185" max="186" width="10.6640625" style="1" customWidth="1"/>
    <col min="187" max="188" width="8.44140625" style="1" customWidth="1"/>
    <col min="189" max="189" width="7.44140625" style="1" customWidth="1"/>
    <col min="190" max="190" width="8.44140625" style="1" customWidth="1"/>
    <col min="191" max="191" width="9" style="1" customWidth="1"/>
    <col min="192" max="192" width="7.44140625" style="1" customWidth="1"/>
    <col min="193" max="193" width="10.109375" style="1" customWidth="1"/>
    <col min="194" max="194" width="7.44140625" style="1" customWidth="1"/>
    <col min="195" max="195" width="8.44140625" style="1" customWidth="1"/>
    <col min="196" max="196" width="8.33203125" style="1" customWidth="1"/>
    <col min="197" max="197" width="8" style="1" customWidth="1"/>
    <col min="198" max="198" width="8.44140625" style="1" customWidth="1"/>
    <col min="199" max="199" width="10.33203125" style="1" customWidth="1"/>
    <col min="200" max="201" width="8.44140625" style="1" customWidth="1"/>
    <col min="202" max="202" width="16.6640625" style="1" customWidth="1"/>
    <col min="203" max="203" width="7.44140625" style="1" customWidth="1"/>
    <col min="204" max="204" width="8.44140625" style="1" customWidth="1"/>
    <col min="205" max="205" width="11.44140625" style="1" customWidth="1"/>
    <col min="206" max="206" width="20.109375" style="1" customWidth="1"/>
    <col min="207" max="207" width="8.44140625" style="1" customWidth="1"/>
    <col min="208" max="208" width="7.44140625" style="1" customWidth="1"/>
    <col min="209" max="209" width="8.44140625" style="1" customWidth="1"/>
    <col min="210" max="210" width="17.33203125" style="1" customWidth="1"/>
    <col min="211" max="211" width="13.44140625" style="1" customWidth="1"/>
    <col min="212" max="212" width="20.109375" style="1" customWidth="1"/>
    <col min="213" max="213" width="7.77734375" style="1" customWidth="1"/>
    <col min="214" max="214" width="9.77734375" style="1" customWidth="1"/>
    <col min="215" max="215" width="8.44140625" style="1" customWidth="1"/>
    <col min="216" max="216" width="9" style="1" customWidth="1"/>
    <col min="217" max="217" width="8.44140625" style="1" customWidth="1"/>
    <col min="218" max="218" width="20.44140625" style="1" customWidth="1"/>
    <col min="219" max="219" width="13.33203125" style="1" customWidth="1"/>
    <col min="220" max="220" width="7.44140625" style="1" customWidth="1"/>
    <col min="221" max="221" width="7" style="1" customWidth="1"/>
    <col min="222" max="222" width="9.33203125" style="1" customWidth="1"/>
    <col min="223" max="223" width="16.33203125" style="1" customWidth="1"/>
    <col min="224" max="231" width="17.77734375" style="1" customWidth="1"/>
    <col min="232" max="232" width="8.33203125" style="1" customWidth="1"/>
    <col min="233" max="16384" width="8.33203125" style="1"/>
  </cols>
  <sheetData>
    <row r="1" spans="1:231" ht="27.7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</row>
    <row r="2" spans="1:231" ht="20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2" t="s">
        <v>2</v>
      </c>
      <c r="HP2" s="2" t="s">
        <v>3</v>
      </c>
      <c r="HQ2" s="2" t="s">
        <v>4</v>
      </c>
      <c r="HR2" s="3"/>
      <c r="HS2" s="2" t="s">
        <v>5</v>
      </c>
      <c r="HT2" s="2" t="s">
        <v>6</v>
      </c>
      <c r="HU2" s="3"/>
      <c r="HV2" s="3"/>
      <c r="HW2" s="3"/>
    </row>
    <row r="3" spans="1:231" ht="20.25" customHeight="1">
      <c r="A3" s="4"/>
      <c r="B3" s="5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6" t="s">
        <v>20</v>
      </c>
      <c r="P3" s="6" t="s">
        <v>21</v>
      </c>
      <c r="Q3" s="6" t="s">
        <v>22</v>
      </c>
      <c r="R3" s="6" t="s">
        <v>23</v>
      </c>
      <c r="S3" s="6" t="s">
        <v>24</v>
      </c>
      <c r="T3" s="6" t="s">
        <v>25</v>
      </c>
      <c r="U3" s="6" t="s">
        <v>26</v>
      </c>
      <c r="V3" s="6" t="s">
        <v>27</v>
      </c>
      <c r="W3" s="6" t="s">
        <v>28</v>
      </c>
      <c r="X3" s="6" t="s">
        <v>29</v>
      </c>
      <c r="Y3" s="6" t="s">
        <v>30</v>
      </c>
      <c r="Z3" s="6" t="s">
        <v>31</v>
      </c>
      <c r="AA3" s="6" t="s">
        <v>32</v>
      </c>
      <c r="AB3" s="6" t="s">
        <v>33</v>
      </c>
      <c r="AC3" s="6" t="s">
        <v>34</v>
      </c>
      <c r="AD3" s="6" t="s">
        <v>35</v>
      </c>
      <c r="AE3" s="6" t="s">
        <v>36</v>
      </c>
      <c r="AF3" s="6" t="s">
        <v>37</v>
      </c>
      <c r="AG3" s="6" t="s">
        <v>38</v>
      </c>
      <c r="AH3" s="6" t="s">
        <v>39</v>
      </c>
      <c r="AI3" s="6" t="s">
        <v>40</v>
      </c>
      <c r="AJ3" s="6" t="s">
        <v>41</v>
      </c>
      <c r="AK3" s="6" t="s">
        <v>42</v>
      </c>
      <c r="AL3" s="6" t="s">
        <v>43</v>
      </c>
      <c r="AM3" s="6" t="s">
        <v>44</v>
      </c>
      <c r="AN3" s="6" t="s">
        <v>45</v>
      </c>
      <c r="AO3" s="6" t="s">
        <v>46</v>
      </c>
      <c r="AP3" s="6" t="s">
        <v>47</v>
      </c>
      <c r="AQ3" s="6" t="s">
        <v>48</v>
      </c>
      <c r="AR3" s="6" t="s">
        <v>49</v>
      </c>
      <c r="AS3" s="6" t="s">
        <v>50</v>
      </c>
      <c r="AT3" s="6" t="s">
        <v>51</v>
      </c>
      <c r="AU3" s="6" t="s">
        <v>52</v>
      </c>
      <c r="AV3" s="6" t="s">
        <v>53</v>
      </c>
      <c r="AW3" s="6" t="s">
        <v>54</v>
      </c>
      <c r="AX3" s="6" t="s">
        <v>55</v>
      </c>
      <c r="AY3" s="6" t="s">
        <v>56</v>
      </c>
      <c r="AZ3" s="6" t="s">
        <v>57</v>
      </c>
      <c r="BA3" s="6" t="s">
        <v>58</v>
      </c>
      <c r="BB3" s="6" t="s">
        <v>59</v>
      </c>
      <c r="BC3" s="6" t="s">
        <v>60</v>
      </c>
      <c r="BD3" s="6" t="s">
        <v>61</v>
      </c>
      <c r="BE3" s="6" t="s">
        <v>62</v>
      </c>
      <c r="BF3" s="6" t="s">
        <v>63</v>
      </c>
      <c r="BG3" s="6" t="s">
        <v>64</v>
      </c>
      <c r="BH3" s="6" t="s">
        <v>65</v>
      </c>
      <c r="BI3" s="6" t="s">
        <v>66</v>
      </c>
      <c r="BJ3" s="6" t="s">
        <v>67</v>
      </c>
      <c r="BK3" s="6" t="s">
        <v>68</v>
      </c>
      <c r="BL3" s="6" t="s">
        <v>69</v>
      </c>
      <c r="BM3" s="6" t="s">
        <v>70</v>
      </c>
      <c r="BN3" s="6" t="s">
        <v>71</v>
      </c>
      <c r="BO3" s="6" t="s">
        <v>72</v>
      </c>
      <c r="BP3" s="6" t="s">
        <v>73</v>
      </c>
      <c r="BQ3" s="6" t="s">
        <v>74</v>
      </c>
      <c r="BR3" s="6" t="s">
        <v>75</v>
      </c>
      <c r="BS3" s="6" t="s">
        <v>76</v>
      </c>
      <c r="BT3" s="6" t="s">
        <v>77</v>
      </c>
      <c r="BU3" s="6" t="s">
        <v>78</v>
      </c>
      <c r="BV3" s="6" t="s">
        <v>79</v>
      </c>
      <c r="BW3" s="6" t="s">
        <v>80</v>
      </c>
      <c r="BX3" s="6" t="s">
        <v>81</v>
      </c>
      <c r="BY3" s="6" t="s">
        <v>82</v>
      </c>
      <c r="BZ3" s="6" t="s">
        <v>83</v>
      </c>
      <c r="CA3" s="6" t="s">
        <v>84</v>
      </c>
      <c r="CB3" s="6" t="s">
        <v>85</v>
      </c>
      <c r="CC3" s="6" t="s">
        <v>86</v>
      </c>
      <c r="CD3" s="6" t="s">
        <v>87</v>
      </c>
      <c r="CE3" s="6" t="s">
        <v>88</v>
      </c>
      <c r="CF3" s="6" t="s">
        <v>89</v>
      </c>
      <c r="CG3" s="6" t="s">
        <v>90</v>
      </c>
      <c r="CH3" s="6" t="s">
        <v>91</v>
      </c>
      <c r="CI3" s="6" t="s">
        <v>92</v>
      </c>
      <c r="CJ3" s="6" t="s">
        <v>93</v>
      </c>
      <c r="CK3" s="6" t="s">
        <v>94</v>
      </c>
      <c r="CL3" s="6" t="s">
        <v>95</v>
      </c>
      <c r="CM3" s="6" t="s">
        <v>96</v>
      </c>
      <c r="CN3" s="6" t="s">
        <v>97</v>
      </c>
      <c r="CO3" s="6" t="s">
        <v>98</v>
      </c>
      <c r="CP3" s="6" t="s">
        <v>99</v>
      </c>
      <c r="CQ3" s="6" t="s">
        <v>100</v>
      </c>
      <c r="CR3" s="6" t="s">
        <v>101</v>
      </c>
      <c r="CS3" s="6" t="s">
        <v>102</v>
      </c>
      <c r="CT3" s="6" t="s">
        <v>103</v>
      </c>
      <c r="CU3" s="6" t="s">
        <v>104</v>
      </c>
      <c r="CV3" s="6" t="s">
        <v>105</v>
      </c>
      <c r="CW3" s="6" t="s">
        <v>106</v>
      </c>
      <c r="CX3" s="6" t="s">
        <v>107</v>
      </c>
      <c r="CY3" s="6" t="s">
        <v>108</v>
      </c>
      <c r="CZ3" s="6" t="s">
        <v>109</v>
      </c>
      <c r="DA3" s="6" t="s">
        <v>110</v>
      </c>
      <c r="DB3" s="6" t="s">
        <v>111</v>
      </c>
      <c r="DC3" s="6" t="s">
        <v>112</v>
      </c>
      <c r="DD3" s="6" t="s">
        <v>113</v>
      </c>
      <c r="DE3" s="6" t="s">
        <v>114</v>
      </c>
      <c r="DF3" s="6" t="s">
        <v>115</v>
      </c>
      <c r="DG3" s="6" t="s">
        <v>116</v>
      </c>
      <c r="DH3" s="6" t="s">
        <v>117</v>
      </c>
      <c r="DI3" s="6" t="s">
        <v>118</v>
      </c>
      <c r="DJ3" s="6" t="s">
        <v>119</v>
      </c>
      <c r="DK3" s="6" t="s">
        <v>120</v>
      </c>
      <c r="DL3" s="6" t="s">
        <v>121</v>
      </c>
      <c r="DM3" s="6" t="s">
        <v>122</v>
      </c>
      <c r="DN3" s="6" t="s">
        <v>123</v>
      </c>
      <c r="DO3" s="6" t="s">
        <v>124</v>
      </c>
      <c r="DP3" s="6" t="s">
        <v>125</v>
      </c>
      <c r="DQ3" s="6" t="s">
        <v>126</v>
      </c>
      <c r="DR3" s="6" t="s">
        <v>127</v>
      </c>
      <c r="DS3" s="6" t="s">
        <v>128</v>
      </c>
      <c r="DT3" s="6" t="s">
        <v>129</v>
      </c>
      <c r="DU3" s="6" t="s">
        <v>130</v>
      </c>
      <c r="DV3" s="6" t="s">
        <v>131</v>
      </c>
      <c r="DW3" s="6" t="s">
        <v>132</v>
      </c>
      <c r="DX3" s="6" t="s">
        <v>133</v>
      </c>
      <c r="DY3" s="6" t="s">
        <v>134</v>
      </c>
      <c r="DZ3" s="6" t="s">
        <v>135</v>
      </c>
      <c r="EA3" s="6" t="s">
        <v>136</v>
      </c>
      <c r="EB3" s="6" t="s">
        <v>137</v>
      </c>
      <c r="EC3" s="6" t="s">
        <v>138</v>
      </c>
      <c r="ED3" s="6" t="s">
        <v>139</v>
      </c>
      <c r="EE3" s="6" t="s">
        <v>140</v>
      </c>
      <c r="EF3" s="6" t="s">
        <v>141</v>
      </c>
      <c r="EG3" s="6" t="s">
        <v>142</v>
      </c>
      <c r="EH3" s="6" t="s">
        <v>143</v>
      </c>
      <c r="EI3" s="6" t="s">
        <v>144</v>
      </c>
      <c r="EJ3" s="6" t="s">
        <v>145</v>
      </c>
      <c r="EK3" s="6" t="s">
        <v>146</v>
      </c>
      <c r="EL3" s="6" t="s">
        <v>147</v>
      </c>
      <c r="EM3" s="6" t="s">
        <v>148</v>
      </c>
      <c r="EN3" s="6" t="s">
        <v>149</v>
      </c>
      <c r="EO3" s="6" t="s">
        <v>150</v>
      </c>
      <c r="EP3" s="6" t="s">
        <v>151</v>
      </c>
      <c r="EQ3" s="6" t="s">
        <v>152</v>
      </c>
      <c r="ER3" s="6" t="s">
        <v>153</v>
      </c>
      <c r="ES3" s="6" t="s">
        <v>154</v>
      </c>
      <c r="ET3" s="6" t="s">
        <v>155</v>
      </c>
      <c r="EU3" s="6" t="s">
        <v>156</v>
      </c>
      <c r="EV3" s="6" t="s">
        <v>157</v>
      </c>
      <c r="EW3" s="6" t="s">
        <v>158</v>
      </c>
      <c r="EX3" s="6" t="s">
        <v>159</v>
      </c>
      <c r="EY3" s="6" t="s">
        <v>160</v>
      </c>
      <c r="EZ3" s="6" t="s">
        <v>161</v>
      </c>
      <c r="FA3" s="6" t="s">
        <v>162</v>
      </c>
      <c r="FB3" s="6" t="s">
        <v>163</v>
      </c>
      <c r="FC3" s="6" t="s">
        <v>164</v>
      </c>
      <c r="FD3" s="6" t="s">
        <v>165</v>
      </c>
      <c r="FE3" s="6" t="s">
        <v>166</v>
      </c>
      <c r="FF3" s="6" t="s">
        <v>167</v>
      </c>
      <c r="FG3" s="6" t="s">
        <v>168</v>
      </c>
      <c r="FH3" s="6" t="s">
        <v>169</v>
      </c>
      <c r="FI3" s="6" t="s">
        <v>170</v>
      </c>
      <c r="FJ3" s="6" t="s">
        <v>171</v>
      </c>
      <c r="FK3" s="6" t="s">
        <v>172</v>
      </c>
      <c r="FL3" s="6" t="s">
        <v>173</v>
      </c>
      <c r="FM3" s="6" t="s">
        <v>174</v>
      </c>
      <c r="FN3" s="6" t="s">
        <v>175</v>
      </c>
      <c r="FO3" s="6" t="s">
        <v>176</v>
      </c>
      <c r="FP3" s="6" t="s">
        <v>177</v>
      </c>
      <c r="FQ3" s="6" t="s">
        <v>178</v>
      </c>
      <c r="FR3" s="6" t="s">
        <v>179</v>
      </c>
      <c r="FS3" s="6" t="s">
        <v>180</v>
      </c>
      <c r="FT3" s="6" t="s">
        <v>181</v>
      </c>
      <c r="FU3" s="6" t="s">
        <v>182</v>
      </c>
      <c r="FV3" s="6" t="s">
        <v>183</v>
      </c>
      <c r="FW3" s="6" t="s">
        <v>184</v>
      </c>
      <c r="FX3" s="6" t="s">
        <v>185</v>
      </c>
      <c r="FY3" s="6" t="s">
        <v>186</v>
      </c>
      <c r="FZ3" s="6" t="s">
        <v>187</v>
      </c>
      <c r="GA3" s="6" t="s">
        <v>188</v>
      </c>
      <c r="GB3" s="6" t="s">
        <v>189</v>
      </c>
      <c r="GC3" s="6" t="s">
        <v>190</v>
      </c>
      <c r="GD3" s="6" t="s">
        <v>191</v>
      </c>
      <c r="GE3" s="6" t="s">
        <v>192</v>
      </c>
      <c r="GF3" s="6" t="s">
        <v>193</v>
      </c>
      <c r="GG3" s="6" t="s">
        <v>194</v>
      </c>
      <c r="GH3" s="6" t="s">
        <v>195</v>
      </c>
      <c r="GI3" s="6" t="s">
        <v>196</v>
      </c>
      <c r="GJ3" s="6" t="s">
        <v>197</v>
      </c>
      <c r="GK3" s="6" t="s">
        <v>198</v>
      </c>
      <c r="GL3" s="6" t="s">
        <v>199</v>
      </c>
      <c r="GM3" s="6" t="s">
        <v>200</v>
      </c>
      <c r="GN3" s="6" t="s">
        <v>201</v>
      </c>
      <c r="GO3" s="6" t="s">
        <v>202</v>
      </c>
      <c r="GP3" s="6" t="s">
        <v>203</v>
      </c>
      <c r="GQ3" s="6" t="s">
        <v>204</v>
      </c>
      <c r="GR3" s="6" t="s">
        <v>205</v>
      </c>
      <c r="GS3" s="6" t="s">
        <v>206</v>
      </c>
      <c r="GT3" s="6" t="s">
        <v>207</v>
      </c>
      <c r="GU3" s="6" t="s">
        <v>208</v>
      </c>
      <c r="GV3" s="6" t="s">
        <v>209</v>
      </c>
      <c r="GW3" s="6" t="s">
        <v>210</v>
      </c>
      <c r="GX3" s="6" t="s">
        <v>211</v>
      </c>
      <c r="GY3" s="6" t="s">
        <v>212</v>
      </c>
      <c r="GZ3" s="6" t="s">
        <v>213</v>
      </c>
      <c r="HA3" s="6" t="s">
        <v>214</v>
      </c>
      <c r="HB3" s="6" t="s">
        <v>215</v>
      </c>
      <c r="HC3" s="6" t="s">
        <v>216</v>
      </c>
      <c r="HD3" s="6" t="s">
        <v>217</v>
      </c>
      <c r="HE3" s="6" t="s">
        <v>218</v>
      </c>
      <c r="HF3" s="6" t="s">
        <v>219</v>
      </c>
      <c r="HG3" s="6" t="s">
        <v>220</v>
      </c>
      <c r="HH3" s="6" t="s">
        <v>221</v>
      </c>
      <c r="HI3" s="6" t="s">
        <v>222</v>
      </c>
      <c r="HJ3" s="6" t="s">
        <v>223</v>
      </c>
      <c r="HK3" s="6" t="s">
        <v>224</v>
      </c>
      <c r="HL3" s="6" t="s">
        <v>225</v>
      </c>
      <c r="HM3" s="6" t="s">
        <v>226</v>
      </c>
      <c r="HN3" s="6" t="s">
        <v>227</v>
      </c>
      <c r="HO3" s="7"/>
      <c r="HP3" s="7"/>
      <c r="HQ3" s="7"/>
      <c r="HR3" s="7"/>
      <c r="HS3" s="7"/>
      <c r="HT3" s="7"/>
      <c r="HU3" s="7"/>
      <c r="HV3" s="7"/>
      <c r="HW3" s="7"/>
    </row>
    <row r="4" spans="1:231" ht="19.95" customHeight="1">
      <c r="A4" s="8">
        <v>1960</v>
      </c>
      <c r="B4" s="9">
        <v>0.41388000000000003</v>
      </c>
      <c r="C4" s="10">
        <v>2.0225</v>
      </c>
      <c r="D4" s="10">
        <v>6.1512000000000002</v>
      </c>
      <c r="E4" s="11"/>
      <c r="F4" s="10">
        <v>0.54895000000000005</v>
      </c>
      <c r="G4" s="11"/>
      <c r="H4" s="10">
        <v>3.6639999999999999E-2</v>
      </c>
      <c r="I4" s="10">
        <v>48.764499999999998</v>
      </c>
      <c r="J4" s="10">
        <v>7.2941000000000003</v>
      </c>
      <c r="K4" s="10">
        <v>0.61856</v>
      </c>
      <c r="L4" s="10">
        <v>88.118899999999996</v>
      </c>
      <c r="M4" s="10">
        <v>30.784500000000001</v>
      </c>
      <c r="N4" s="10">
        <v>20.895199999999999</v>
      </c>
      <c r="O4" s="10">
        <v>0.41037000000000001</v>
      </c>
      <c r="P4" s="10">
        <v>0.57525000000000004</v>
      </c>
      <c r="Q4" s="10">
        <v>2.2119</v>
      </c>
      <c r="R4" s="10">
        <v>0.17221</v>
      </c>
      <c r="S4" s="10">
        <v>45.688400000000001</v>
      </c>
      <c r="T4" s="10">
        <v>90.908100000000005</v>
      </c>
      <c r="U4" s="10">
        <v>4.3968E-2</v>
      </c>
      <c r="V4" s="10">
        <v>0.16122</v>
      </c>
      <c r="W4" s="10">
        <v>0.15755</v>
      </c>
      <c r="X4" s="11"/>
      <c r="Y4" s="10">
        <v>1.0038</v>
      </c>
      <c r="Z4" s="10">
        <v>0.47065000000000001</v>
      </c>
      <c r="AA4" s="10">
        <v>5.2622999999999998</v>
      </c>
      <c r="AB4" s="11"/>
      <c r="AC4" s="10">
        <v>46.851799999999997</v>
      </c>
      <c r="AD4" s="11"/>
      <c r="AE4" s="10">
        <v>0.33341999999999999</v>
      </c>
      <c r="AF4" s="10">
        <v>22.270700000000001</v>
      </c>
      <c r="AG4" s="10">
        <v>4.3968E-2</v>
      </c>
      <c r="AH4" s="10">
        <v>3.6430999999999998E-2</v>
      </c>
      <c r="AI4" s="10">
        <v>0.23449999999999999</v>
      </c>
      <c r="AJ4" s="10">
        <v>0.27113999999999999</v>
      </c>
      <c r="AK4" s="10">
        <v>192.71619999999999</v>
      </c>
      <c r="AL4" s="10">
        <v>2.1954000000000001E-2</v>
      </c>
      <c r="AM4" s="11"/>
      <c r="AN4" s="10">
        <v>8.7936E-2</v>
      </c>
      <c r="AO4" s="10">
        <v>5.4960000000000002E-2</v>
      </c>
      <c r="AP4" s="10">
        <v>13.4765</v>
      </c>
      <c r="AQ4" s="10">
        <v>778.97950000000003</v>
      </c>
      <c r="AR4" s="10">
        <v>16.390499999999999</v>
      </c>
      <c r="AS4" s="10">
        <v>1.0992E-2</v>
      </c>
      <c r="AT4" s="10">
        <v>0.2235</v>
      </c>
      <c r="AU4" s="11"/>
      <c r="AV4" s="10">
        <v>0.49098000000000003</v>
      </c>
      <c r="AW4" s="10">
        <v>0.46166000000000001</v>
      </c>
      <c r="AX4" s="10">
        <v>5.6749000000000001</v>
      </c>
      <c r="AY4" s="10">
        <v>13.687099999999999</v>
      </c>
      <c r="AZ4" s="10">
        <v>8.9422999999999995</v>
      </c>
      <c r="BA4" s="10">
        <v>0.88632999999999995</v>
      </c>
      <c r="BB4" s="10">
        <v>99.081500000000005</v>
      </c>
      <c r="BC4" s="10">
        <v>2.3184999999999998</v>
      </c>
      <c r="BD4" s="10">
        <v>29.749500000000001</v>
      </c>
      <c r="BE4" s="10">
        <v>4.0304E-2</v>
      </c>
      <c r="BF4" s="10">
        <v>1.0992E-2</v>
      </c>
      <c r="BG4" s="10">
        <v>1.0399</v>
      </c>
      <c r="BH4" s="10">
        <v>1.7616000000000001</v>
      </c>
      <c r="BI4" s="10">
        <v>16.032699999999998</v>
      </c>
      <c r="BJ4" s="10">
        <v>0.61885999999999997</v>
      </c>
      <c r="BK4" s="10">
        <v>2.1984E-2</v>
      </c>
      <c r="BL4" s="11"/>
      <c r="BM4" s="10">
        <v>13.164999999999999</v>
      </c>
      <c r="BN4" s="10">
        <v>0.35163</v>
      </c>
      <c r="BO4" s="10">
        <v>5.8624000000000002E-2</v>
      </c>
      <c r="BP4" s="11"/>
      <c r="BQ4" s="10">
        <v>0.19419</v>
      </c>
      <c r="BR4" s="10">
        <v>15.0869</v>
      </c>
      <c r="BS4" s="10">
        <v>271.36079999999998</v>
      </c>
      <c r="BT4" s="11"/>
      <c r="BU4" s="10">
        <v>3.6639999999999999E-2</v>
      </c>
      <c r="BV4" s="10">
        <v>0.13189999999999999</v>
      </c>
      <c r="BW4" s="10">
        <v>1.8319999999999999E-2</v>
      </c>
      <c r="BX4" s="10">
        <v>11.1212</v>
      </c>
      <c r="BY4" s="10">
        <v>813.9502</v>
      </c>
      <c r="BZ4" s="10">
        <v>1.4619</v>
      </c>
      <c r="CA4" s="11"/>
      <c r="CB4" s="10">
        <v>9.3915000000000006</v>
      </c>
      <c r="CC4" s="10">
        <v>0.2235</v>
      </c>
      <c r="CD4" s="10">
        <v>2.1984E-2</v>
      </c>
      <c r="CE4" s="11"/>
      <c r="CF4" s="10">
        <v>1.3442000000000001</v>
      </c>
      <c r="CG4" s="10">
        <v>0.41037000000000001</v>
      </c>
      <c r="CH4" s="10">
        <v>1.8319999999999999E-2</v>
      </c>
      <c r="CI4" s="10">
        <v>0.65952</v>
      </c>
      <c r="CJ4" s="10">
        <v>0.28558</v>
      </c>
      <c r="CK4" s="10">
        <v>0.61539999999999995</v>
      </c>
      <c r="CL4" s="10">
        <v>2.9525999999999999</v>
      </c>
      <c r="CM4" s="10">
        <v>45.328299999999999</v>
      </c>
      <c r="CN4" s="10">
        <v>1.2124999999999999</v>
      </c>
      <c r="CO4" s="10">
        <v>111.49</v>
      </c>
      <c r="CP4" s="10">
        <v>21.385200000000001</v>
      </c>
      <c r="CQ4" s="10">
        <v>37.358600000000003</v>
      </c>
      <c r="CR4" s="10">
        <v>8.2561999999999998</v>
      </c>
      <c r="CS4" s="10">
        <v>11.1685</v>
      </c>
      <c r="CT4" s="10">
        <v>6.46</v>
      </c>
      <c r="CU4" s="10">
        <v>109.20310000000001</v>
      </c>
      <c r="CV4" s="10">
        <v>1.4683999999999999</v>
      </c>
      <c r="CW4" s="10">
        <v>232.49959999999999</v>
      </c>
      <c r="CX4" s="10">
        <v>0.74314000000000002</v>
      </c>
      <c r="CY4" s="10">
        <v>91.873999999999995</v>
      </c>
      <c r="CZ4" s="10">
        <v>2.4241000000000001</v>
      </c>
      <c r="DA4" s="11"/>
      <c r="DB4" s="11"/>
      <c r="DC4" s="10">
        <v>7.7969999999999997</v>
      </c>
      <c r="DD4" s="10">
        <v>8.4661000000000008</v>
      </c>
      <c r="DE4" s="10">
        <v>8.0607999999999999E-2</v>
      </c>
      <c r="DF4" s="10">
        <v>6.7342000000000004</v>
      </c>
      <c r="DG4" s="10">
        <v>2.5760000000000001</v>
      </c>
      <c r="DH4" s="11"/>
      <c r="DI4" s="10">
        <v>0.16488</v>
      </c>
      <c r="DJ4" s="10">
        <v>0.6925</v>
      </c>
      <c r="DK4" s="11"/>
      <c r="DL4" s="10">
        <v>12.5815</v>
      </c>
      <c r="DM4" s="10">
        <v>11.5078</v>
      </c>
      <c r="DN4" s="10">
        <v>5.1296000000000001E-2</v>
      </c>
      <c r="DO4" s="10">
        <v>0.39938000000000001</v>
      </c>
      <c r="DP4" s="10">
        <v>0.43835000000000002</v>
      </c>
      <c r="DQ4" s="10">
        <v>4.2015000000000002</v>
      </c>
      <c r="DR4" s="11"/>
      <c r="DS4" s="10">
        <v>0.12091</v>
      </c>
      <c r="DT4" s="10">
        <v>0.34075</v>
      </c>
      <c r="DU4" s="11"/>
      <c r="DV4" s="11"/>
      <c r="DW4" s="10">
        <v>3.6639999999999999E-2</v>
      </c>
      <c r="DX4" s="10">
        <v>0.17954000000000001</v>
      </c>
      <c r="DY4" s="10">
        <v>63.052300000000002</v>
      </c>
      <c r="DZ4" s="11"/>
      <c r="EA4" s="10">
        <v>10.942</v>
      </c>
      <c r="EB4" s="10">
        <v>1.2934000000000001</v>
      </c>
      <c r="EC4" s="10">
        <v>0.51927999999999996</v>
      </c>
      <c r="ED4" s="11"/>
      <c r="EE4" s="10">
        <v>3.6360000000000001</v>
      </c>
      <c r="EF4" s="10">
        <v>1.8824000000000001</v>
      </c>
      <c r="EG4" s="10">
        <v>2.7147999999999999</v>
      </c>
      <c r="EH4" s="11"/>
      <c r="EI4" s="11"/>
      <c r="EJ4" s="10">
        <v>8.0607999999999999E-2</v>
      </c>
      <c r="EK4" s="10">
        <v>73.437600000000003</v>
      </c>
      <c r="EL4" s="10">
        <v>0.86104000000000003</v>
      </c>
      <c r="EM4" s="10">
        <v>11.5318</v>
      </c>
      <c r="EN4" s="10">
        <v>0.53115999999999997</v>
      </c>
      <c r="EO4" s="10">
        <v>2.9312000000000001E-2</v>
      </c>
      <c r="EP4" s="10">
        <v>3.4032</v>
      </c>
      <c r="EQ4" s="11"/>
      <c r="ER4" s="10">
        <v>23.788399999999999</v>
      </c>
      <c r="ES4" s="10">
        <v>3.8456000000000001</v>
      </c>
      <c r="ET4" s="10">
        <v>13.0868</v>
      </c>
      <c r="EU4" s="11"/>
      <c r="EV4" s="11"/>
      <c r="EW4" s="10">
        <v>11.926399999999999</v>
      </c>
      <c r="EX4" s="11"/>
      <c r="EY4" s="10">
        <v>0.99616000000000005</v>
      </c>
      <c r="EZ4" s="10">
        <v>0.17954000000000001</v>
      </c>
      <c r="FA4" s="10">
        <v>0.30404999999999999</v>
      </c>
      <c r="FB4" s="10">
        <v>8.1646000000000001</v>
      </c>
      <c r="FC4" s="10">
        <v>8.3251000000000008</v>
      </c>
      <c r="FD4" s="10">
        <v>199.5771</v>
      </c>
      <c r="FE4" s="10">
        <v>8.2134999999999998</v>
      </c>
      <c r="FF4" s="10">
        <v>0.17587</v>
      </c>
      <c r="FG4" s="10">
        <v>0.1132</v>
      </c>
      <c r="FH4" s="11"/>
      <c r="FI4" s="10">
        <v>53.394100000000002</v>
      </c>
      <c r="FJ4" s="10">
        <v>885.86109999999996</v>
      </c>
      <c r="FK4" s="10">
        <v>6.9824999999999998E-2</v>
      </c>
      <c r="FL4" s="11"/>
      <c r="FM4" s="11"/>
      <c r="FN4" s="10">
        <v>1.4656000000000001E-2</v>
      </c>
      <c r="FO4" s="10">
        <v>3.6639999999999999E-2</v>
      </c>
      <c r="FP4" s="10">
        <v>1.0992E-2</v>
      </c>
      <c r="FQ4" s="10">
        <v>1.4656000000000001E-2</v>
      </c>
      <c r="FR4" s="10">
        <v>1.0992E-2</v>
      </c>
      <c r="FS4" s="10">
        <v>2.6743999999999999</v>
      </c>
      <c r="FT4" s="10">
        <v>0.82738</v>
      </c>
      <c r="FU4" s="10">
        <v>15.3025</v>
      </c>
      <c r="FV4" s="11"/>
      <c r="FW4" s="10">
        <v>0.71448</v>
      </c>
      <c r="FX4" s="10">
        <v>1.3923000000000001</v>
      </c>
      <c r="FY4" s="10">
        <v>31.6416</v>
      </c>
      <c r="FZ4" s="10">
        <v>4.3407999999999998</v>
      </c>
      <c r="GA4" s="10">
        <v>1.0992E-2</v>
      </c>
      <c r="GB4" s="10">
        <v>8.4272E-2</v>
      </c>
      <c r="GC4" s="10">
        <v>97.843500000000006</v>
      </c>
      <c r="GD4" s="10">
        <v>12.540100000000001</v>
      </c>
      <c r="GE4" s="10">
        <v>48.865600000000001</v>
      </c>
      <c r="GF4" s="10">
        <v>2.2566999999999999</v>
      </c>
      <c r="GG4" s="10">
        <v>1.2458</v>
      </c>
      <c r="GH4" s="10">
        <v>0.43235000000000001</v>
      </c>
      <c r="GI4" s="10">
        <v>3.2975999999999998E-2</v>
      </c>
      <c r="GJ4" s="10">
        <v>49.170499999999997</v>
      </c>
      <c r="GK4" s="10">
        <v>19.494900000000001</v>
      </c>
      <c r="GL4" s="10">
        <v>3.2187000000000001</v>
      </c>
      <c r="GM4" s="10">
        <v>11.873900000000001</v>
      </c>
      <c r="GN4" s="10">
        <v>4.0679999999999996</v>
      </c>
      <c r="GO4" s="10">
        <v>0.82806000000000002</v>
      </c>
      <c r="GP4" s="10">
        <v>3.7094999999999998</v>
      </c>
      <c r="GQ4" s="11"/>
      <c r="GR4" s="10">
        <v>6.5951999999999997E-2</v>
      </c>
      <c r="GS4" s="10">
        <v>1.0992E-2</v>
      </c>
      <c r="GT4" s="10">
        <v>2.5787</v>
      </c>
      <c r="GU4" s="10">
        <v>1.7241</v>
      </c>
      <c r="GV4" s="10">
        <v>16.798500000000001</v>
      </c>
      <c r="GW4" s="10">
        <v>16.579799999999999</v>
      </c>
      <c r="GX4" s="11"/>
      <c r="GY4" s="11"/>
      <c r="GZ4" s="10">
        <v>0.42105999999999999</v>
      </c>
      <c r="HA4" s="10">
        <v>267.43040000000002</v>
      </c>
      <c r="HB4" s="10">
        <v>1.0992E-2</v>
      </c>
      <c r="HC4" s="10">
        <v>584.02</v>
      </c>
      <c r="HD4" s="10">
        <v>2887.8204000000001</v>
      </c>
      <c r="HE4" s="10">
        <v>4.3144999999999998</v>
      </c>
      <c r="HF4" s="10">
        <v>44.5398</v>
      </c>
      <c r="HG4" s="11"/>
      <c r="HH4" s="10">
        <v>57.016800000000003</v>
      </c>
      <c r="HI4" s="10">
        <v>7.4839000000000002</v>
      </c>
      <c r="HJ4" s="11"/>
      <c r="HK4" s="11"/>
      <c r="HL4" s="10">
        <v>3.6309999999999998</v>
      </c>
      <c r="HM4" s="10">
        <v>4.3552999999999997</v>
      </c>
      <c r="HN4" s="10">
        <v>5.9431000000000003</v>
      </c>
      <c r="HO4" s="10">
        <f t="shared" ref="HO4:HO35" si="0">SUM(B4:HN4)</f>
        <v>9094.977418000004</v>
      </c>
      <c r="HP4" s="10">
        <f t="shared" ref="HP4:HP35" si="1">HO4/1000</f>
        <v>9.0949774180000045</v>
      </c>
      <c r="HQ4" s="10">
        <f t="shared" ref="HQ4:HQ35" si="2">HP4/3.667</f>
        <v>2.4802229119171</v>
      </c>
      <c r="HR4" s="11"/>
      <c r="HS4" s="11"/>
      <c r="HT4" s="11"/>
      <c r="HU4" s="11"/>
      <c r="HV4" s="11"/>
      <c r="HW4" s="11"/>
    </row>
    <row r="5" spans="1:231" ht="19.95" customHeight="1">
      <c r="A5" s="8">
        <v>1961</v>
      </c>
      <c r="B5" s="9">
        <v>0.49080000000000001</v>
      </c>
      <c r="C5" s="10">
        <v>2.2789999999999999</v>
      </c>
      <c r="D5" s="10">
        <v>6.0559000000000003</v>
      </c>
      <c r="E5" s="11"/>
      <c r="F5" s="10">
        <v>0.45371</v>
      </c>
      <c r="G5" s="11"/>
      <c r="H5" s="10">
        <v>4.7632000000000001E-2</v>
      </c>
      <c r="I5" s="10">
        <v>51.1267</v>
      </c>
      <c r="J5" s="10">
        <v>7.5223000000000004</v>
      </c>
      <c r="K5" s="10">
        <v>0.64554999999999996</v>
      </c>
      <c r="L5" s="10">
        <v>90.503900000000002</v>
      </c>
      <c r="M5" s="10">
        <v>31.824000000000002</v>
      </c>
      <c r="N5" s="10">
        <v>21.548200000000001</v>
      </c>
      <c r="O5" s="10">
        <v>0.54593999999999998</v>
      </c>
      <c r="P5" s="10">
        <v>1.7697000000000001</v>
      </c>
      <c r="Q5" s="10">
        <v>2.2904</v>
      </c>
      <c r="R5" s="10">
        <v>0.19419</v>
      </c>
      <c r="S5" s="10">
        <v>47.117800000000003</v>
      </c>
      <c r="T5" s="10">
        <v>92.698300000000003</v>
      </c>
      <c r="U5" s="10">
        <v>3.6639999999999999E-2</v>
      </c>
      <c r="V5" s="10">
        <v>0.12823999999999999</v>
      </c>
      <c r="W5" s="10">
        <v>0.17587</v>
      </c>
      <c r="X5" s="11"/>
      <c r="Y5" s="10">
        <v>1.0404</v>
      </c>
      <c r="Z5" s="10">
        <v>0.49119000000000002</v>
      </c>
      <c r="AA5" s="10">
        <v>5.5157999999999996</v>
      </c>
      <c r="AB5" s="11"/>
      <c r="AC5" s="10">
        <v>49.144500000000001</v>
      </c>
      <c r="AD5" s="11"/>
      <c r="AE5" s="10">
        <v>0.30410999999999999</v>
      </c>
      <c r="AF5" s="10">
        <v>25.945</v>
      </c>
      <c r="AG5" s="10">
        <v>9.1600000000000001E-2</v>
      </c>
      <c r="AH5" s="10">
        <v>4.7737000000000002E-2</v>
      </c>
      <c r="AI5" s="10">
        <v>0.28578999999999999</v>
      </c>
      <c r="AJ5" s="10">
        <v>0.28212999999999999</v>
      </c>
      <c r="AK5" s="10">
        <v>194.00069999999999</v>
      </c>
      <c r="AL5" s="10">
        <v>2.1954000000000001E-2</v>
      </c>
      <c r="AM5" s="11"/>
      <c r="AN5" s="10">
        <v>8.7936E-2</v>
      </c>
      <c r="AO5" s="10">
        <v>5.1296000000000001E-2</v>
      </c>
      <c r="AP5" s="10">
        <v>14.4582</v>
      </c>
      <c r="AQ5" s="10">
        <v>550.95849999999996</v>
      </c>
      <c r="AR5" s="10">
        <v>18.196300000000001</v>
      </c>
      <c r="AS5" s="10">
        <v>1.0992E-2</v>
      </c>
      <c r="AT5" s="10">
        <v>0.26746999999999999</v>
      </c>
      <c r="AU5" s="11"/>
      <c r="AV5" s="10">
        <v>0.49098000000000003</v>
      </c>
      <c r="AW5" s="10">
        <v>0.55325999999999997</v>
      </c>
      <c r="AX5" s="10">
        <v>5.9504000000000001</v>
      </c>
      <c r="AY5" s="10">
        <v>12.1683</v>
      </c>
      <c r="AZ5" s="10">
        <v>9.3325999999999993</v>
      </c>
      <c r="BA5" s="10">
        <v>0.86431999999999998</v>
      </c>
      <c r="BB5" s="10">
        <v>107.5398</v>
      </c>
      <c r="BC5" s="10">
        <v>2.3553999999999999</v>
      </c>
      <c r="BD5" s="10">
        <v>31.701899999999998</v>
      </c>
      <c r="BE5" s="10">
        <v>4.3968E-2</v>
      </c>
      <c r="BF5" s="10">
        <v>1.0992E-2</v>
      </c>
      <c r="BG5" s="10">
        <v>1.0286</v>
      </c>
      <c r="BH5" s="10">
        <v>1.6442000000000001</v>
      </c>
      <c r="BI5" s="10">
        <v>17.065899999999999</v>
      </c>
      <c r="BJ5" s="10">
        <v>0.58228000000000002</v>
      </c>
      <c r="BK5" s="10">
        <v>2.1984E-2</v>
      </c>
      <c r="BL5" s="11"/>
      <c r="BM5" s="10">
        <v>13.566700000000001</v>
      </c>
      <c r="BN5" s="10">
        <v>0.34062999999999999</v>
      </c>
      <c r="BO5" s="10">
        <v>0.11358</v>
      </c>
      <c r="BP5" s="11"/>
      <c r="BQ5" s="10">
        <v>0.16854</v>
      </c>
      <c r="BR5" s="10">
        <v>14.9217</v>
      </c>
      <c r="BS5" s="10">
        <v>281.37329999999997</v>
      </c>
      <c r="BT5" s="11"/>
      <c r="BU5" s="10">
        <v>5.8624000000000002E-2</v>
      </c>
      <c r="BV5" s="10">
        <v>0.16488</v>
      </c>
      <c r="BW5" s="10">
        <v>2.1984E-2</v>
      </c>
      <c r="BX5" s="10">
        <v>11.469200000000001</v>
      </c>
      <c r="BY5" s="10">
        <v>834.83960000000002</v>
      </c>
      <c r="BZ5" s="10">
        <v>1.3447</v>
      </c>
      <c r="CA5" s="11"/>
      <c r="CB5" s="10">
        <v>9.8084000000000007</v>
      </c>
      <c r="CC5" s="10">
        <v>0.29311999999999999</v>
      </c>
      <c r="CD5" s="10">
        <v>1.8319999999999999E-2</v>
      </c>
      <c r="CE5" s="11"/>
      <c r="CF5" s="10">
        <v>1.4065000000000001</v>
      </c>
      <c r="CG5" s="10">
        <v>0.61555000000000004</v>
      </c>
      <c r="CH5" s="10">
        <v>2.9312000000000001E-2</v>
      </c>
      <c r="CI5" s="10">
        <v>0.73646</v>
      </c>
      <c r="CJ5" s="10">
        <v>0.29660999999999998</v>
      </c>
      <c r="CK5" s="10">
        <v>0.73629</v>
      </c>
      <c r="CL5" s="10">
        <v>3.3700999999999999</v>
      </c>
      <c r="CM5" s="10">
        <v>48.929900000000004</v>
      </c>
      <c r="CN5" s="10">
        <v>1.0915999999999999</v>
      </c>
      <c r="CO5" s="10">
        <v>120.5823</v>
      </c>
      <c r="CP5" s="10">
        <v>26.0016</v>
      </c>
      <c r="CQ5" s="10">
        <v>36.508800000000001</v>
      </c>
      <c r="CR5" s="10">
        <v>8.7091999999999992</v>
      </c>
      <c r="CS5" s="10">
        <v>12.352600000000001</v>
      </c>
      <c r="CT5" s="10">
        <v>7.0608000000000004</v>
      </c>
      <c r="CU5" s="10">
        <v>124.3749</v>
      </c>
      <c r="CV5" s="10">
        <v>2.1278999999999999</v>
      </c>
      <c r="CW5" s="10">
        <v>282.7869</v>
      </c>
      <c r="CX5" s="10">
        <v>0.97740000000000005</v>
      </c>
      <c r="CY5" s="10">
        <v>94.749099999999999</v>
      </c>
      <c r="CZ5" s="10">
        <v>2.3986000000000001</v>
      </c>
      <c r="DA5" s="10">
        <v>7.3280000000000003E-3</v>
      </c>
      <c r="DB5" s="11"/>
      <c r="DC5" s="10">
        <v>9.9733999999999998</v>
      </c>
      <c r="DD5" s="10">
        <v>8.7314000000000007</v>
      </c>
      <c r="DE5" s="10">
        <v>0.11358</v>
      </c>
      <c r="DF5" s="10">
        <v>6.9447000000000001</v>
      </c>
      <c r="DG5" s="10">
        <v>2.6785000000000001</v>
      </c>
      <c r="DH5" s="11"/>
      <c r="DI5" s="10">
        <v>0.16122</v>
      </c>
      <c r="DJ5" s="10">
        <v>1.1944999999999999</v>
      </c>
      <c r="DK5" s="11"/>
      <c r="DL5" s="10">
        <v>12.976000000000001</v>
      </c>
      <c r="DM5" s="10">
        <v>11.581</v>
      </c>
      <c r="DN5" s="10">
        <v>6.9615999999999997E-2</v>
      </c>
      <c r="DO5" s="10">
        <v>0.35541</v>
      </c>
      <c r="DP5" s="10">
        <v>0.37331999999999999</v>
      </c>
      <c r="DQ5" s="10">
        <v>4.6848999999999998</v>
      </c>
      <c r="DR5" s="11"/>
      <c r="DS5" s="10">
        <v>0.11724999999999999</v>
      </c>
      <c r="DT5" s="10">
        <v>0.29311999999999999</v>
      </c>
      <c r="DU5" s="11"/>
      <c r="DV5" s="11"/>
      <c r="DW5" s="10">
        <v>4.7632000000000001E-2</v>
      </c>
      <c r="DX5" s="10">
        <v>0.18686</v>
      </c>
      <c r="DY5" s="10">
        <v>65.239900000000006</v>
      </c>
      <c r="DZ5" s="11"/>
      <c r="EA5" s="10">
        <v>11.2844</v>
      </c>
      <c r="EB5" s="10">
        <v>1.3923000000000001</v>
      </c>
      <c r="EC5" s="10">
        <v>0.54430000000000001</v>
      </c>
      <c r="ED5" s="11"/>
      <c r="EE5" s="10">
        <v>3.7713999999999999</v>
      </c>
      <c r="EF5" s="10">
        <v>2.6299000000000001</v>
      </c>
      <c r="EG5" s="10">
        <v>2.5903</v>
      </c>
      <c r="EH5" s="11"/>
      <c r="EI5" s="11"/>
      <c r="EJ5" s="10">
        <v>8.0607999999999999E-2</v>
      </c>
      <c r="EK5" s="10">
        <v>75.818799999999996</v>
      </c>
      <c r="EL5" s="10">
        <v>0.88668999999999998</v>
      </c>
      <c r="EM5" s="10">
        <v>11.755100000000001</v>
      </c>
      <c r="EN5" s="10">
        <v>0.56044000000000005</v>
      </c>
      <c r="EO5" s="10">
        <v>5.4960000000000002E-2</v>
      </c>
      <c r="EP5" s="10">
        <v>4.1096000000000004</v>
      </c>
      <c r="EQ5" s="11"/>
      <c r="ER5" s="10">
        <v>26.426600000000001</v>
      </c>
      <c r="ES5" s="10">
        <v>4.0308999999999999</v>
      </c>
      <c r="ET5" s="10">
        <v>13.3355</v>
      </c>
      <c r="EU5" s="11"/>
      <c r="EV5" s="11"/>
      <c r="EW5" s="10">
        <v>12.349600000000001</v>
      </c>
      <c r="EX5" s="11"/>
      <c r="EY5" s="10">
        <v>1.1024</v>
      </c>
      <c r="EZ5" s="10">
        <v>0.20152</v>
      </c>
      <c r="FA5" s="10">
        <v>0.36268</v>
      </c>
      <c r="FB5" s="10">
        <v>8.6335999999999995</v>
      </c>
      <c r="FC5" s="10">
        <v>8.7125000000000004</v>
      </c>
      <c r="FD5" s="10">
        <v>207.2354</v>
      </c>
      <c r="FE5" s="10">
        <v>9.0779999999999994</v>
      </c>
      <c r="FF5" s="10">
        <v>0.16122</v>
      </c>
      <c r="FG5" s="10">
        <v>0.11534</v>
      </c>
      <c r="FH5" s="11"/>
      <c r="FI5" s="10">
        <v>55.716099999999997</v>
      </c>
      <c r="FJ5" s="10">
        <v>913.52530000000002</v>
      </c>
      <c r="FK5" s="10">
        <v>9.1495000000000007E-2</v>
      </c>
      <c r="FL5" s="11"/>
      <c r="FM5" s="11"/>
      <c r="FN5" s="10">
        <v>1.8319999999999999E-2</v>
      </c>
      <c r="FO5" s="10">
        <v>4.7632000000000001E-2</v>
      </c>
      <c r="FP5" s="10">
        <v>1.0992E-2</v>
      </c>
      <c r="FQ5" s="10">
        <v>1.8319999999999999E-2</v>
      </c>
      <c r="FR5" s="10">
        <v>1.0992E-2</v>
      </c>
      <c r="FS5" s="10">
        <v>3.5682999999999998</v>
      </c>
      <c r="FT5" s="10">
        <v>0.81267</v>
      </c>
      <c r="FU5" s="10">
        <v>16.0382</v>
      </c>
      <c r="FV5" s="11"/>
      <c r="FW5" s="10">
        <v>0.28946</v>
      </c>
      <c r="FX5" s="10">
        <v>2.0920999999999998</v>
      </c>
      <c r="FY5" s="10">
        <v>34.342700000000001</v>
      </c>
      <c r="FZ5" s="10">
        <v>4.5510000000000002</v>
      </c>
      <c r="GA5" s="10">
        <v>1.4656000000000001E-2</v>
      </c>
      <c r="GB5" s="10">
        <v>8.7936E-2</v>
      </c>
      <c r="GC5" s="10">
        <v>102.1198</v>
      </c>
      <c r="GD5" s="10">
        <v>14.448700000000001</v>
      </c>
      <c r="GE5" s="10">
        <v>53.606900000000003</v>
      </c>
      <c r="GF5" s="10">
        <v>2.3336000000000001</v>
      </c>
      <c r="GG5" s="10">
        <v>1.2694000000000001</v>
      </c>
      <c r="GH5" s="10">
        <v>0.42869000000000002</v>
      </c>
      <c r="GI5" s="10">
        <v>3.6640000000000002E-3</v>
      </c>
      <c r="GJ5" s="10">
        <v>48.799500000000002</v>
      </c>
      <c r="GK5" s="10">
        <v>20.357299999999999</v>
      </c>
      <c r="GL5" s="10">
        <v>3.0609000000000002</v>
      </c>
      <c r="GM5" s="10">
        <v>12.528499999999999</v>
      </c>
      <c r="GN5" s="10">
        <v>4.1952999999999996</v>
      </c>
      <c r="GO5" s="10">
        <v>0.70348999999999995</v>
      </c>
      <c r="GP5" s="10">
        <v>4.1406999999999998</v>
      </c>
      <c r="GQ5" s="11"/>
      <c r="GR5" s="10">
        <v>9.1600000000000001E-2</v>
      </c>
      <c r="GS5" s="10">
        <v>1.0992E-2</v>
      </c>
      <c r="GT5" s="10">
        <v>4.5979000000000001</v>
      </c>
      <c r="GU5" s="10">
        <v>1.7646999999999999</v>
      </c>
      <c r="GV5" s="10">
        <v>17.340800000000002</v>
      </c>
      <c r="GW5" s="10">
        <v>17.097999999999999</v>
      </c>
      <c r="GX5" s="11"/>
      <c r="GY5" s="11"/>
      <c r="GZ5" s="10">
        <v>0.40644000000000002</v>
      </c>
      <c r="HA5" s="10">
        <v>275.81110000000001</v>
      </c>
      <c r="HB5" s="10">
        <v>1.0992E-2</v>
      </c>
      <c r="HC5" s="10">
        <v>588.61479999999995</v>
      </c>
      <c r="HD5" s="10">
        <v>2877.3697999999999</v>
      </c>
      <c r="HE5" s="10">
        <v>4.1167999999999996</v>
      </c>
      <c r="HF5" s="10">
        <v>45.935099999999998</v>
      </c>
      <c r="HG5" s="11"/>
      <c r="HH5" s="10">
        <v>51.879800000000003</v>
      </c>
      <c r="HI5" s="10">
        <v>7.9782999999999999</v>
      </c>
      <c r="HJ5" s="11"/>
      <c r="HK5" s="11"/>
      <c r="HL5" s="10">
        <v>2.6637</v>
      </c>
      <c r="HM5" s="10">
        <v>3.7090000000000001</v>
      </c>
      <c r="HN5" s="10">
        <v>5.0613000000000001</v>
      </c>
      <c r="HO5" s="10">
        <f t="shared" si="0"/>
        <v>9091.0043960000039</v>
      </c>
      <c r="HP5" s="10">
        <f t="shared" si="1"/>
        <v>9.0910043960000042</v>
      </c>
      <c r="HQ5" s="10">
        <f t="shared" si="2"/>
        <v>2.4791394589582776</v>
      </c>
      <c r="HR5" s="11"/>
      <c r="HS5" s="11"/>
      <c r="HT5" s="11"/>
      <c r="HU5" s="11"/>
      <c r="HV5" s="11"/>
      <c r="HW5" s="11"/>
    </row>
    <row r="6" spans="1:231" ht="19.95" customHeight="1">
      <c r="A6" s="8">
        <v>1962</v>
      </c>
      <c r="B6" s="9">
        <v>0.68859000000000004</v>
      </c>
      <c r="C6" s="10">
        <v>2.4622000000000002</v>
      </c>
      <c r="D6" s="10">
        <v>5.6609999999999996</v>
      </c>
      <c r="E6" s="11"/>
      <c r="F6" s="10">
        <v>1.1791</v>
      </c>
      <c r="G6" s="11"/>
      <c r="H6" s="10">
        <v>0.10259</v>
      </c>
      <c r="I6" s="10">
        <v>53.640099999999997</v>
      </c>
      <c r="J6" s="10">
        <v>7.8949999999999996</v>
      </c>
      <c r="K6" s="10">
        <v>0.70894000000000001</v>
      </c>
      <c r="L6" s="10">
        <v>94.823499999999996</v>
      </c>
      <c r="M6" s="10">
        <v>33.865000000000002</v>
      </c>
      <c r="N6" s="10">
        <v>22.615500000000001</v>
      </c>
      <c r="O6" s="10">
        <v>0.72546999999999995</v>
      </c>
      <c r="P6" s="10">
        <v>1.5902000000000001</v>
      </c>
      <c r="Q6" s="10">
        <v>2.5167999999999999</v>
      </c>
      <c r="R6" s="10">
        <v>0.26013999999999998</v>
      </c>
      <c r="S6" s="10">
        <v>49.453000000000003</v>
      </c>
      <c r="T6" s="10">
        <v>98.018299999999996</v>
      </c>
      <c r="U6" s="10">
        <v>6.9615999999999997E-2</v>
      </c>
      <c r="V6" s="10">
        <v>0.13557</v>
      </c>
      <c r="W6" s="10">
        <v>0.15755</v>
      </c>
      <c r="X6" s="11"/>
      <c r="Y6" s="10">
        <v>1.099</v>
      </c>
      <c r="Z6" s="10">
        <v>0.53942000000000001</v>
      </c>
      <c r="AA6" s="10">
        <v>5.6601999999999997</v>
      </c>
      <c r="AB6" s="11"/>
      <c r="AC6" s="10">
        <v>53.631399999999999</v>
      </c>
      <c r="AD6" s="10">
        <v>3.6640000000000002E-3</v>
      </c>
      <c r="AE6" s="10">
        <v>0.37006</v>
      </c>
      <c r="AF6" s="10">
        <v>30.704000000000001</v>
      </c>
      <c r="AG6" s="10">
        <v>8.4272E-2</v>
      </c>
      <c r="AH6" s="10">
        <v>4.3968E-2</v>
      </c>
      <c r="AI6" s="10">
        <v>0.30778</v>
      </c>
      <c r="AJ6" s="10">
        <v>0.28946</v>
      </c>
      <c r="AK6" s="10">
        <v>206.99080000000001</v>
      </c>
      <c r="AL6" s="10">
        <v>1.8290000000000001E-2</v>
      </c>
      <c r="AM6" s="11"/>
      <c r="AN6" s="10">
        <v>7.3279999999999998E-2</v>
      </c>
      <c r="AO6" s="10">
        <v>8.4272E-2</v>
      </c>
      <c r="AP6" s="10">
        <v>16.7074</v>
      </c>
      <c r="AQ6" s="10">
        <v>439.34210000000002</v>
      </c>
      <c r="AR6" s="10">
        <v>19.419499999999999</v>
      </c>
      <c r="AS6" s="10">
        <v>1.0992E-2</v>
      </c>
      <c r="AT6" s="10">
        <v>0.23816000000000001</v>
      </c>
      <c r="AU6" s="11"/>
      <c r="AV6" s="10">
        <v>0.54959999999999998</v>
      </c>
      <c r="AW6" s="10">
        <v>0.58623999999999998</v>
      </c>
      <c r="AX6" s="10">
        <v>6.1063000000000001</v>
      </c>
      <c r="AY6" s="10">
        <v>14.154500000000001</v>
      </c>
      <c r="AZ6" s="10">
        <v>10.249000000000001</v>
      </c>
      <c r="BA6" s="10">
        <v>0.90461999999999998</v>
      </c>
      <c r="BB6" s="10">
        <v>114.601</v>
      </c>
      <c r="BC6" s="10">
        <v>2.1718999999999999</v>
      </c>
      <c r="BD6" s="10">
        <v>36.889899999999997</v>
      </c>
      <c r="BE6" s="10">
        <v>4.7632000000000001E-2</v>
      </c>
      <c r="BF6" s="10">
        <v>1.0992E-2</v>
      </c>
      <c r="BG6" s="10">
        <v>1.2411000000000001</v>
      </c>
      <c r="BH6" s="10">
        <v>1.5637000000000001</v>
      </c>
      <c r="BI6" s="10">
        <v>18.571100000000001</v>
      </c>
      <c r="BJ6" s="10">
        <v>0.64825999999999995</v>
      </c>
      <c r="BK6" s="10">
        <v>2.1984E-2</v>
      </c>
      <c r="BL6" s="11"/>
      <c r="BM6" s="10">
        <v>14.2242</v>
      </c>
      <c r="BN6" s="10">
        <v>0.39552999999999999</v>
      </c>
      <c r="BO6" s="10">
        <v>0.11724999999999999</v>
      </c>
      <c r="BP6" s="11"/>
      <c r="BQ6" s="10">
        <v>0.23083000000000001</v>
      </c>
      <c r="BR6" s="10">
        <v>16.790299999999998</v>
      </c>
      <c r="BS6" s="10">
        <v>298.86649999999997</v>
      </c>
      <c r="BT6" s="11"/>
      <c r="BU6" s="10">
        <v>4.7632000000000001E-2</v>
      </c>
      <c r="BV6" s="10">
        <v>8.7936E-2</v>
      </c>
      <c r="BW6" s="10">
        <v>2.5648000000000001E-2</v>
      </c>
      <c r="BX6" s="10">
        <v>12.037699999999999</v>
      </c>
      <c r="BY6" s="10">
        <v>883.16859999999997</v>
      </c>
      <c r="BZ6" s="10">
        <v>1.4326000000000001</v>
      </c>
      <c r="CA6" s="11"/>
      <c r="CB6" s="10">
        <v>10.1488</v>
      </c>
      <c r="CC6" s="10">
        <v>0.26380999999999999</v>
      </c>
      <c r="CD6" s="10">
        <v>2.5648000000000001E-2</v>
      </c>
      <c r="CE6" s="11"/>
      <c r="CF6" s="10">
        <v>1.3809</v>
      </c>
      <c r="CG6" s="10">
        <v>0.65952</v>
      </c>
      <c r="CH6" s="10">
        <v>4.0304E-2</v>
      </c>
      <c r="CI6" s="10">
        <v>0.67784</v>
      </c>
      <c r="CJ6" s="10">
        <v>0.30386999999999997</v>
      </c>
      <c r="CK6" s="10">
        <v>0.69959000000000005</v>
      </c>
      <c r="CL6" s="10">
        <v>3.6815000000000002</v>
      </c>
      <c r="CM6" s="10">
        <v>50.5122</v>
      </c>
      <c r="CN6" s="10">
        <v>1.1977</v>
      </c>
      <c r="CO6" s="10">
        <v>132.77529999999999</v>
      </c>
      <c r="CP6" s="10">
        <v>22.974900000000002</v>
      </c>
      <c r="CQ6" s="10">
        <v>37.428400000000003</v>
      </c>
      <c r="CR6" s="10">
        <v>9.0207999999999995</v>
      </c>
      <c r="CS6" s="10">
        <v>13.1067</v>
      </c>
      <c r="CT6" s="10">
        <v>7.9324000000000003</v>
      </c>
      <c r="CU6" s="10">
        <v>146.255</v>
      </c>
      <c r="CV6" s="10">
        <v>2.117</v>
      </c>
      <c r="CW6" s="10">
        <v>292.86439999999999</v>
      </c>
      <c r="CX6" s="10">
        <v>1.0469999999999999</v>
      </c>
      <c r="CY6" s="10">
        <v>99.446399999999997</v>
      </c>
      <c r="CZ6" s="10">
        <v>2.6219999999999999</v>
      </c>
      <c r="DA6" s="10">
        <v>1.0992E-2</v>
      </c>
      <c r="DB6" s="11"/>
      <c r="DC6" s="10">
        <v>14.278600000000001</v>
      </c>
      <c r="DD6" s="10">
        <v>9.1646999999999998</v>
      </c>
      <c r="DE6" s="10">
        <v>0.13189999999999999</v>
      </c>
      <c r="DF6" s="10">
        <v>7.2888000000000002</v>
      </c>
      <c r="DG6" s="10">
        <v>2.8508</v>
      </c>
      <c r="DH6" s="11"/>
      <c r="DI6" s="10">
        <v>0.25281999999999999</v>
      </c>
      <c r="DJ6" s="10">
        <v>1.0479000000000001</v>
      </c>
      <c r="DK6" s="11"/>
      <c r="DL6" s="10">
        <v>13.6197</v>
      </c>
      <c r="DM6" s="10">
        <v>11.540699999999999</v>
      </c>
      <c r="DN6" s="10">
        <v>9.5264000000000001E-2</v>
      </c>
      <c r="DO6" s="10">
        <v>0.39565</v>
      </c>
      <c r="DP6" s="10">
        <v>0.36060999999999999</v>
      </c>
      <c r="DQ6" s="10">
        <v>4.7765000000000004</v>
      </c>
      <c r="DR6" s="11"/>
      <c r="DS6" s="10">
        <v>0.13922999999999999</v>
      </c>
      <c r="DT6" s="10">
        <v>0.32976</v>
      </c>
      <c r="DU6" s="11"/>
      <c r="DV6" s="11"/>
      <c r="DW6" s="10">
        <v>6.2288000000000003E-2</v>
      </c>
      <c r="DX6" s="10">
        <v>0.25281999999999999</v>
      </c>
      <c r="DY6" s="10">
        <v>63.743699999999997</v>
      </c>
      <c r="DZ6" s="11"/>
      <c r="EA6" s="10">
        <v>11.8438</v>
      </c>
      <c r="EB6" s="10">
        <v>1.9712000000000001</v>
      </c>
      <c r="EC6" s="10">
        <v>0.55854999999999999</v>
      </c>
      <c r="ED6" s="10">
        <v>3.6640000000000002E-3</v>
      </c>
      <c r="EE6" s="10">
        <v>3.0749</v>
      </c>
      <c r="EF6" s="10">
        <v>1.9852000000000001</v>
      </c>
      <c r="EG6" s="10">
        <v>2.8797000000000001</v>
      </c>
      <c r="EH6" s="11"/>
      <c r="EI6" s="11"/>
      <c r="EJ6" s="10">
        <v>8.7936E-2</v>
      </c>
      <c r="EK6" s="10">
        <v>83.281899999999993</v>
      </c>
      <c r="EL6" s="10">
        <v>0.56425999999999998</v>
      </c>
      <c r="EM6" s="10">
        <v>11.1983</v>
      </c>
      <c r="EN6" s="10">
        <v>0.65934000000000004</v>
      </c>
      <c r="EO6" s="10">
        <v>6.5951999999999997E-2</v>
      </c>
      <c r="EP6" s="10">
        <v>4.1749999999999998</v>
      </c>
      <c r="EQ6" s="11"/>
      <c r="ER6" s="10">
        <v>30.6874</v>
      </c>
      <c r="ES6" s="10">
        <v>4.1364000000000001</v>
      </c>
      <c r="ET6" s="10">
        <v>14.0604</v>
      </c>
      <c r="EU6" s="11"/>
      <c r="EV6" s="11"/>
      <c r="EW6" s="10">
        <v>13.569900000000001</v>
      </c>
      <c r="EX6" s="11"/>
      <c r="EY6" s="10">
        <v>1.1902999999999999</v>
      </c>
      <c r="EZ6" s="10">
        <v>0.19786000000000001</v>
      </c>
      <c r="FA6" s="10">
        <v>0.39199000000000001</v>
      </c>
      <c r="FB6" s="10">
        <v>9.9596</v>
      </c>
      <c r="FC6" s="10">
        <v>10.335900000000001</v>
      </c>
      <c r="FD6" s="10">
        <v>216.60720000000001</v>
      </c>
      <c r="FE6" s="10">
        <v>9.2898999999999994</v>
      </c>
      <c r="FF6" s="10">
        <v>0.19053</v>
      </c>
      <c r="FG6" s="10">
        <v>0.12357</v>
      </c>
      <c r="FH6" s="11"/>
      <c r="FI6" s="10">
        <v>63.812800000000003</v>
      </c>
      <c r="FJ6" s="10">
        <v>958.75689999999997</v>
      </c>
      <c r="FK6" s="10">
        <v>8.4272E-2</v>
      </c>
      <c r="FL6" s="11"/>
      <c r="FM6" s="11"/>
      <c r="FN6" s="10">
        <v>1.8319999999999999E-2</v>
      </c>
      <c r="FO6" s="10">
        <v>3.2975999999999998E-2</v>
      </c>
      <c r="FP6" s="10">
        <v>1.0992E-2</v>
      </c>
      <c r="FQ6" s="10">
        <v>1.8319999999999999E-2</v>
      </c>
      <c r="FR6" s="10">
        <v>1.0992E-2</v>
      </c>
      <c r="FS6" s="10">
        <v>6.25</v>
      </c>
      <c r="FT6" s="10">
        <v>0.81267</v>
      </c>
      <c r="FU6" s="10">
        <v>16.459199999999999</v>
      </c>
      <c r="FV6" s="11"/>
      <c r="FW6" s="10">
        <v>0.3261</v>
      </c>
      <c r="FX6" s="10">
        <v>2.5752999999999999</v>
      </c>
      <c r="FY6" s="10">
        <v>36.597700000000003</v>
      </c>
      <c r="FZ6" s="10">
        <v>4.6695000000000002</v>
      </c>
      <c r="GA6" s="10">
        <v>1.4656000000000001E-2</v>
      </c>
      <c r="GB6" s="10">
        <v>0.10625999999999999</v>
      </c>
      <c r="GC6" s="10">
        <v>105.67</v>
      </c>
      <c r="GD6" s="10">
        <v>17.261600000000001</v>
      </c>
      <c r="GE6" s="10">
        <v>59.9758</v>
      </c>
      <c r="GF6" s="10">
        <v>2.5608</v>
      </c>
      <c r="GG6" s="10">
        <v>1.36</v>
      </c>
      <c r="GH6" s="10">
        <v>0.49464000000000002</v>
      </c>
      <c r="GI6" s="11"/>
      <c r="GJ6" s="10">
        <v>51.272599999999997</v>
      </c>
      <c r="GK6" s="10">
        <v>24.119700000000002</v>
      </c>
      <c r="GL6" s="10">
        <v>3.1999</v>
      </c>
      <c r="GM6" s="10">
        <v>14.1648</v>
      </c>
      <c r="GN6" s="10">
        <v>4.4032999999999998</v>
      </c>
      <c r="GO6" s="10">
        <v>0.76578000000000002</v>
      </c>
      <c r="GP6" s="10">
        <v>5.0267999999999997</v>
      </c>
      <c r="GQ6" s="11"/>
      <c r="GR6" s="10">
        <v>8.7936E-2</v>
      </c>
      <c r="GS6" s="10">
        <v>1.0992E-2</v>
      </c>
      <c r="GT6" s="10">
        <v>7.2321</v>
      </c>
      <c r="GU6" s="10">
        <v>1.7939000000000001</v>
      </c>
      <c r="GV6" s="10">
        <v>21.604500000000002</v>
      </c>
      <c r="GW6" s="10">
        <v>17.944900000000001</v>
      </c>
      <c r="GX6" s="11"/>
      <c r="GY6" s="11"/>
      <c r="GZ6" s="10">
        <v>0.42845</v>
      </c>
      <c r="HA6" s="10">
        <v>289.49740000000003</v>
      </c>
      <c r="HB6" s="10">
        <v>1.8319999999999999E-2</v>
      </c>
      <c r="HC6" s="10">
        <v>592.93150000000003</v>
      </c>
      <c r="HD6" s="10">
        <v>2984.0016999999998</v>
      </c>
      <c r="HE6" s="10">
        <v>4.0068999999999999</v>
      </c>
      <c r="HF6" s="10">
        <v>48.2136</v>
      </c>
      <c r="HG6" s="10">
        <v>4.0304E-2</v>
      </c>
      <c r="HH6" s="10">
        <v>54.056100000000001</v>
      </c>
      <c r="HI6" s="10">
        <v>9.3376999999999999</v>
      </c>
      <c r="HJ6" s="11"/>
      <c r="HK6" s="11"/>
      <c r="HL6" s="10">
        <v>3.8837999999999999</v>
      </c>
      <c r="HM6" s="10">
        <v>3.5827</v>
      </c>
      <c r="HN6" s="10">
        <v>4.8890000000000002</v>
      </c>
      <c r="HO6" s="10">
        <f t="shared" si="0"/>
        <v>9412.938586000002</v>
      </c>
      <c r="HP6" s="10">
        <f t="shared" si="1"/>
        <v>9.4129385860000028</v>
      </c>
      <c r="HQ6" s="10">
        <f t="shared" si="2"/>
        <v>2.5669317114807755</v>
      </c>
      <c r="HR6" s="11"/>
      <c r="HS6" s="11"/>
      <c r="HT6" s="11"/>
      <c r="HU6" s="11"/>
      <c r="HV6" s="11"/>
      <c r="HW6" s="11"/>
    </row>
    <row r="7" spans="1:231" ht="19.95" customHeight="1">
      <c r="A7" s="8">
        <v>1963</v>
      </c>
      <c r="B7" s="9">
        <v>0.70674000000000003</v>
      </c>
      <c r="C7" s="10">
        <v>2.0811999999999999</v>
      </c>
      <c r="D7" s="10">
        <v>5.4192</v>
      </c>
      <c r="E7" s="11"/>
      <c r="F7" s="10">
        <v>1.1496999999999999</v>
      </c>
      <c r="G7" s="11"/>
      <c r="H7" s="10">
        <v>8.4272E-2</v>
      </c>
      <c r="I7" s="10">
        <v>50.032699999999998</v>
      </c>
      <c r="J7" s="10">
        <v>8.4667999999999992</v>
      </c>
      <c r="K7" s="10">
        <v>0.67908999999999997</v>
      </c>
      <c r="L7" s="10">
        <v>100.93429999999999</v>
      </c>
      <c r="M7" s="10">
        <v>36.949100000000001</v>
      </c>
      <c r="N7" s="10">
        <v>24.252800000000001</v>
      </c>
      <c r="O7" s="10">
        <v>0.70714999999999995</v>
      </c>
      <c r="P7" s="10">
        <v>1.1944999999999999</v>
      </c>
      <c r="Q7" s="10">
        <v>2.8932000000000002</v>
      </c>
      <c r="R7" s="10">
        <v>0.19053</v>
      </c>
      <c r="S7" s="10">
        <v>53.034700000000001</v>
      </c>
      <c r="T7" s="10">
        <v>105.6764</v>
      </c>
      <c r="U7" s="10">
        <v>6.2288000000000003E-2</v>
      </c>
      <c r="V7" s="10">
        <v>0.12091</v>
      </c>
      <c r="W7" s="10">
        <v>0.15021999999999999</v>
      </c>
      <c r="X7" s="11"/>
      <c r="Y7" s="10">
        <v>1.2124999999999999</v>
      </c>
      <c r="Z7" s="10">
        <v>0.51670000000000005</v>
      </c>
      <c r="AA7" s="10">
        <v>6.2968000000000002</v>
      </c>
      <c r="AB7" s="11"/>
      <c r="AC7" s="10">
        <v>55.550899999999999</v>
      </c>
      <c r="AD7" s="10">
        <v>3.6640000000000002E-3</v>
      </c>
      <c r="AE7" s="10">
        <v>0.35541</v>
      </c>
      <c r="AF7" s="10">
        <v>34.374099999999999</v>
      </c>
      <c r="AG7" s="10">
        <v>8.7936E-2</v>
      </c>
      <c r="AH7" s="10">
        <v>4.7632000000000001E-2</v>
      </c>
      <c r="AI7" s="10">
        <v>0.38838</v>
      </c>
      <c r="AJ7" s="10">
        <v>0.30044999999999999</v>
      </c>
      <c r="AK7" s="10">
        <v>210.91079999999999</v>
      </c>
      <c r="AL7" s="10">
        <v>1.4626E-2</v>
      </c>
      <c r="AM7" s="11"/>
      <c r="AN7" s="10">
        <v>7.3279999999999998E-2</v>
      </c>
      <c r="AO7" s="10">
        <v>9.1600000000000001E-2</v>
      </c>
      <c r="AP7" s="10">
        <v>17.337</v>
      </c>
      <c r="AQ7" s="10">
        <v>435.51760000000002</v>
      </c>
      <c r="AR7" s="10">
        <v>21.232800000000001</v>
      </c>
      <c r="AS7" s="10">
        <v>1.0992E-2</v>
      </c>
      <c r="AT7" s="10">
        <v>0.23449999999999999</v>
      </c>
      <c r="AU7" s="11"/>
      <c r="AV7" s="10">
        <v>0.60089999999999999</v>
      </c>
      <c r="AW7" s="10">
        <v>0.62287999999999999</v>
      </c>
      <c r="AX7" s="10">
        <v>6.7938000000000001</v>
      </c>
      <c r="AY7" s="10">
        <v>13.0259</v>
      </c>
      <c r="AZ7" s="10">
        <v>9.8173999999999992</v>
      </c>
      <c r="BA7" s="10">
        <v>0.98523000000000005</v>
      </c>
      <c r="BB7" s="10">
        <v>120.55459999999999</v>
      </c>
      <c r="BC7" s="10">
        <v>2.2927</v>
      </c>
      <c r="BD7" s="10">
        <v>40.667900000000003</v>
      </c>
      <c r="BE7" s="10">
        <v>6.5951999999999997E-2</v>
      </c>
      <c r="BF7" s="10">
        <v>1.4656000000000001E-2</v>
      </c>
      <c r="BG7" s="10">
        <v>1.2484999999999999</v>
      </c>
      <c r="BH7" s="10">
        <v>1.7943</v>
      </c>
      <c r="BI7" s="10">
        <v>21.526900000000001</v>
      </c>
      <c r="BJ7" s="10">
        <v>1.1245000000000001</v>
      </c>
      <c r="BK7" s="10">
        <v>2.5648000000000001E-2</v>
      </c>
      <c r="BL7" s="11"/>
      <c r="BM7" s="10">
        <v>15.2469</v>
      </c>
      <c r="BN7" s="10">
        <v>0.42120999999999997</v>
      </c>
      <c r="BO7" s="10">
        <v>0.12458</v>
      </c>
      <c r="BP7" s="11"/>
      <c r="BQ7" s="10">
        <v>0.24182000000000001</v>
      </c>
      <c r="BR7" s="10">
        <v>19.336500000000001</v>
      </c>
      <c r="BS7" s="10">
        <v>334.22640000000001</v>
      </c>
      <c r="BT7" s="11"/>
      <c r="BU7" s="10">
        <v>6.5951999999999997E-2</v>
      </c>
      <c r="BV7" s="10">
        <v>7.3279999999999998E-2</v>
      </c>
      <c r="BW7" s="10">
        <v>2.9312000000000001E-2</v>
      </c>
      <c r="BX7" s="10">
        <v>12.909599999999999</v>
      </c>
      <c r="BY7" s="10">
        <v>945.49800000000005</v>
      </c>
      <c r="BZ7" s="10">
        <v>1.7221</v>
      </c>
      <c r="CA7" s="11"/>
      <c r="CB7" s="10">
        <v>12.2395</v>
      </c>
      <c r="CC7" s="10">
        <v>0.32976</v>
      </c>
      <c r="CD7" s="10">
        <v>1.4656000000000001E-2</v>
      </c>
      <c r="CE7" s="11"/>
      <c r="CF7" s="10">
        <v>1.5199</v>
      </c>
      <c r="CG7" s="10">
        <v>0.69616</v>
      </c>
      <c r="CH7" s="10">
        <v>4.7632000000000001E-2</v>
      </c>
      <c r="CI7" s="10">
        <v>0.61555000000000004</v>
      </c>
      <c r="CJ7" s="10">
        <v>0.24893999999999999</v>
      </c>
      <c r="CK7" s="10">
        <v>0.71057999999999999</v>
      </c>
      <c r="CL7" s="10">
        <v>4.2457000000000003</v>
      </c>
      <c r="CM7" s="10">
        <v>56.227800000000002</v>
      </c>
      <c r="CN7" s="10">
        <v>1.304</v>
      </c>
      <c r="CO7" s="10">
        <v>142.65129999999999</v>
      </c>
      <c r="CP7" s="10">
        <v>22.763100000000001</v>
      </c>
      <c r="CQ7" s="10">
        <v>41.304900000000004</v>
      </c>
      <c r="CR7" s="10">
        <v>9.3834</v>
      </c>
      <c r="CS7" s="10">
        <v>13.4473</v>
      </c>
      <c r="CT7" s="10">
        <v>8.1996000000000002</v>
      </c>
      <c r="CU7" s="10">
        <v>164.55619999999999</v>
      </c>
      <c r="CV7" s="10">
        <v>2.3955000000000002</v>
      </c>
      <c r="CW7" s="10">
        <v>324.83550000000002</v>
      </c>
      <c r="CX7" s="10">
        <v>1.2190000000000001</v>
      </c>
      <c r="CY7" s="10">
        <v>106.65049999999999</v>
      </c>
      <c r="CZ7" s="10">
        <v>2.8529</v>
      </c>
      <c r="DA7" s="10">
        <v>1.8319999999999999E-2</v>
      </c>
      <c r="DB7" s="11"/>
      <c r="DC7" s="10">
        <v>17.012</v>
      </c>
      <c r="DD7" s="10">
        <v>9.8286999999999995</v>
      </c>
      <c r="DE7" s="10">
        <v>0.14656</v>
      </c>
      <c r="DF7" s="10">
        <v>7.8169000000000004</v>
      </c>
      <c r="DG7" s="10">
        <v>3.0228000000000002</v>
      </c>
      <c r="DH7" s="11"/>
      <c r="DI7" s="10">
        <v>0.35541</v>
      </c>
      <c r="DJ7" s="10">
        <v>1.4619</v>
      </c>
      <c r="DK7" s="11"/>
      <c r="DL7" s="10">
        <v>14.605499999999999</v>
      </c>
      <c r="DM7" s="10">
        <v>11.4382</v>
      </c>
      <c r="DN7" s="10">
        <v>0.10625999999999999</v>
      </c>
      <c r="DO7" s="10">
        <v>0.46149000000000001</v>
      </c>
      <c r="DP7" s="10">
        <v>0.34671000000000002</v>
      </c>
      <c r="DQ7" s="10">
        <v>5.8280000000000003</v>
      </c>
      <c r="DR7" s="11"/>
      <c r="DS7" s="10">
        <v>0.17587</v>
      </c>
      <c r="DT7" s="10">
        <v>0.41037000000000001</v>
      </c>
      <c r="DU7" s="11"/>
      <c r="DV7" s="11"/>
      <c r="DW7" s="10">
        <v>8.7936E-2</v>
      </c>
      <c r="DX7" s="10">
        <v>0.20885000000000001</v>
      </c>
      <c r="DY7" s="10">
        <v>66.292199999999994</v>
      </c>
      <c r="DZ7" s="11"/>
      <c r="EA7" s="10">
        <v>12.701700000000001</v>
      </c>
      <c r="EB7" s="10">
        <v>1.6012</v>
      </c>
      <c r="EC7" s="10">
        <v>0.62136000000000002</v>
      </c>
      <c r="ED7" s="10">
        <v>3.6640000000000002E-3</v>
      </c>
      <c r="EE7" s="10">
        <v>3.9540999999999999</v>
      </c>
      <c r="EF7" s="10">
        <v>1.6591</v>
      </c>
      <c r="EG7" s="10">
        <v>2.6339000000000001</v>
      </c>
      <c r="EH7" s="11"/>
      <c r="EI7" s="11"/>
      <c r="EJ7" s="10">
        <v>9.8928000000000002E-2</v>
      </c>
      <c r="EK7" s="10">
        <v>91.144599999999997</v>
      </c>
      <c r="EL7" s="10">
        <v>0.61921999999999999</v>
      </c>
      <c r="EM7" s="10">
        <v>12.2165</v>
      </c>
      <c r="EN7" s="10">
        <v>0.84250999999999998</v>
      </c>
      <c r="EO7" s="10">
        <v>8.7936E-2</v>
      </c>
      <c r="EP7" s="10">
        <v>5.3436000000000003</v>
      </c>
      <c r="EQ7" s="11"/>
      <c r="ER7" s="10">
        <v>32.826500000000003</v>
      </c>
      <c r="ES7" s="10">
        <v>4.6016000000000004</v>
      </c>
      <c r="ET7" s="10">
        <v>14.965299999999999</v>
      </c>
      <c r="EU7" s="11"/>
      <c r="EV7" s="11"/>
      <c r="EW7" s="10">
        <v>15.600199999999999</v>
      </c>
      <c r="EX7" s="11"/>
      <c r="EY7" s="10">
        <v>1.1829000000000001</v>
      </c>
      <c r="EZ7" s="10">
        <v>0.25647999999999999</v>
      </c>
      <c r="FA7" s="10">
        <v>0.41031000000000001</v>
      </c>
      <c r="FB7" s="10">
        <v>10.2232</v>
      </c>
      <c r="FC7" s="10">
        <v>11.4718</v>
      </c>
      <c r="FD7" s="10">
        <v>230.99879999999999</v>
      </c>
      <c r="FE7" s="10">
        <v>10.0116</v>
      </c>
      <c r="FF7" s="10">
        <v>6.1334999999999997</v>
      </c>
      <c r="FG7" s="10">
        <v>0.13975000000000001</v>
      </c>
      <c r="FH7" s="11"/>
      <c r="FI7" s="10">
        <v>69.455500000000001</v>
      </c>
      <c r="FJ7" s="10">
        <v>1028.2184</v>
      </c>
      <c r="FK7" s="10">
        <v>8.4272E-2</v>
      </c>
      <c r="FL7" s="11"/>
      <c r="FM7" s="11"/>
      <c r="FN7" s="10">
        <v>2.1984E-2</v>
      </c>
      <c r="FO7" s="10">
        <v>3.6639999999999999E-2</v>
      </c>
      <c r="FP7" s="10">
        <v>1.4656000000000001E-2</v>
      </c>
      <c r="FQ7" s="10">
        <v>2.1984E-2</v>
      </c>
      <c r="FR7" s="10">
        <v>7.3280000000000003E-3</v>
      </c>
      <c r="FS7" s="10">
        <v>6.9387999999999996</v>
      </c>
      <c r="FT7" s="10">
        <v>0.86026999999999998</v>
      </c>
      <c r="FU7" s="10">
        <v>18.3108</v>
      </c>
      <c r="FV7" s="10">
        <v>7.3280000000000003E-3</v>
      </c>
      <c r="FW7" s="10">
        <v>0.37006</v>
      </c>
      <c r="FX7" s="10">
        <v>3.3957999999999999</v>
      </c>
      <c r="FY7" s="10">
        <v>38.498100000000001</v>
      </c>
      <c r="FZ7" s="10">
        <v>5.1944999999999997</v>
      </c>
      <c r="GA7" s="10">
        <v>1.4656000000000001E-2</v>
      </c>
      <c r="GB7" s="10">
        <v>0.10259</v>
      </c>
      <c r="GC7" s="10">
        <v>109.7252</v>
      </c>
      <c r="GD7" s="10">
        <v>21.083200000000001</v>
      </c>
      <c r="GE7" s="10">
        <v>58.742899999999999</v>
      </c>
      <c r="GF7" s="10">
        <v>2.5314999999999999</v>
      </c>
      <c r="GG7" s="10">
        <v>1.538</v>
      </c>
      <c r="GH7" s="10">
        <v>0.53127999999999997</v>
      </c>
      <c r="GI7" s="11"/>
      <c r="GJ7" s="10">
        <v>55.313099999999999</v>
      </c>
      <c r="GK7" s="10">
        <v>29.066700000000001</v>
      </c>
      <c r="GL7" s="10">
        <v>3.6063000000000001</v>
      </c>
      <c r="GM7" s="10">
        <v>15.108599999999999</v>
      </c>
      <c r="GN7" s="10">
        <v>4.7222999999999997</v>
      </c>
      <c r="GO7" s="10">
        <v>0.80242000000000002</v>
      </c>
      <c r="GP7" s="10">
        <v>5.5616000000000003</v>
      </c>
      <c r="GQ7" s="11"/>
      <c r="GR7" s="10">
        <v>0.10625999999999999</v>
      </c>
      <c r="GS7" s="10">
        <v>1.0992E-2</v>
      </c>
      <c r="GT7" s="10">
        <v>1.3073999999999999</v>
      </c>
      <c r="GU7" s="10">
        <v>1.9440999999999999</v>
      </c>
      <c r="GV7" s="10">
        <v>22.639900000000001</v>
      </c>
      <c r="GW7" s="10">
        <v>19.2437</v>
      </c>
      <c r="GX7" s="11"/>
      <c r="GY7" s="11"/>
      <c r="GZ7" s="10">
        <v>0.43214000000000002</v>
      </c>
      <c r="HA7" s="10">
        <v>310.4692</v>
      </c>
      <c r="HB7" s="10">
        <v>2.1984E-2</v>
      </c>
      <c r="HC7" s="10">
        <v>603.38570000000004</v>
      </c>
      <c r="HD7" s="10">
        <v>3116.0223999999998</v>
      </c>
      <c r="HE7" s="10">
        <v>4.3148</v>
      </c>
      <c r="HF7" s="10">
        <v>51.7042</v>
      </c>
      <c r="HG7" s="10">
        <v>3.2975999999999998E-2</v>
      </c>
      <c r="HH7" s="10">
        <v>56.151699999999998</v>
      </c>
      <c r="HI7" s="10">
        <v>9.1104000000000003</v>
      </c>
      <c r="HJ7" s="11"/>
      <c r="HK7" s="11"/>
      <c r="HL7" s="10">
        <v>2.9165000000000001</v>
      </c>
      <c r="HM7" s="10">
        <v>3.4445000000000001</v>
      </c>
      <c r="HN7" s="10">
        <v>4.7004000000000001</v>
      </c>
      <c r="HO7" s="10">
        <f t="shared" si="0"/>
        <v>9948.6805219999987</v>
      </c>
      <c r="HP7" s="10">
        <f t="shared" si="1"/>
        <v>9.9486805219999983</v>
      </c>
      <c r="HQ7" s="10">
        <f t="shared" si="2"/>
        <v>2.7130298669211887</v>
      </c>
      <c r="HR7" s="11"/>
      <c r="HS7" s="11"/>
      <c r="HT7" s="11"/>
      <c r="HU7" s="11"/>
      <c r="HV7" s="11"/>
      <c r="HW7" s="11"/>
    </row>
    <row r="8" spans="1:231" ht="19.95" customHeight="1">
      <c r="A8" s="8">
        <v>1964</v>
      </c>
      <c r="B8" s="9">
        <v>0.83855000000000002</v>
      </c>
      <c r="C8" s="10">
        <v>2.0152000000000001</v>
      </c>
      <c r="D8" s="10">
        <v>5.6429999999999998</v>
      </c>
      <c r="E8" s="11"/>
      <c r="F8" s="10">
        <v>1.2229000000000001</v>
      </c>
      <c r="G8" s="11"/>
      <c r="H8" s="10">
        <v>9.1600000000000001E-2</v>
      </c>
      <c r="I8" s="10">
        <v>55.67</v>
      </c>
      <c r="J8" s="10">
        <v>9.0044000000000004</v>
      </c>
      <c r="K8" s="10">
        <v>0.66027999999999998</v>
      </c>
      <c r="L8" s="10">
        <v>108.8758</v>
      </c>
      <c r="M8" s="10">
        <v>38.8964</v>
      </c>
      <c r="N8" s="10">
        <v>25.792200000000001</v>
      </c>
      <c r="O8" s="10">
        <v>1.0845</v>
      </c>
      <c r="P8" s="10">
        <v>1.5974999999999999</v>
      </c>
      <c r="Q8" s="10">
        <v>2.9746000000000001</v>
      </c>
      <c r="R8" s="10">
        <v>0.17954000000000001</v>
      </c>
      <c r="S8" s="10">
        <v>56.402200000000001</v>
      </c>
      <c r="T8" s="10">
        <v>103.554</v>
      </c>
      <c r="U8" s="10">
        <v>8.4272E-2</v>
      </c>
      <c r="V8" s="10">
        <v>0.1429</v>
      </c>
      <c r="W8" s="10">
        <v>0.20152</v>
      </c>
      <c r="X8" s="11"/>
      <c r="Y8" s="10">
        <v>1.48</v>
      </c>
      <c r="Z8" s="10">
        <v>0.50239</v>
      </c>
      <c r="AA8" s="10">
        <v>7.1338999999999997</v>
      </c>
      <c r="AB8" s="11"/>
      <c r="AC8" s="10">
        <v>56.666699999999999</v>
      </c>
      <c r="AD8" s="10">
        <v>7.3280000000000003E-3</v>
      </c>
      <c r="AE8" s="10">
        <v>0.34075</v>
      </c>
      <c r="AF8" s="10">
        <v>42.818100000000001</v>
      </c>
      <c r="AG8" s="10">
        <v>0.10992</v>
      </c>
      <c r="AH8" s="10">
        <v>4.7632000000000001E-2</v>
      </c>
      <c r="AI8" s="10">
        <v>0.34072000000000002</v>
      </c>
      <c r="AJ8" s="10">
        <v>0.33709</v>
      </c>
      <c r="AK8" s="10">
        <v>237.57769999999999</v>
      </c>
      <c r="AL8" s="10">
        <v>2.9253000000000001E-2</v>
      </c>
      <c r="AM8" s="11"/>
      <c r="AN8" s="10">
        <v>7.3279999999999998E-2</v>
      </c>
      <c r="AO8" s="10">
        <v>9.8928000000000002E-2</v>
      </c>
      <c r="AP8" s="10">
        <v>17.505099999999999</v>
      </c>
      <c r="AQ8" s="10">
        <v>435.70370000000003</v>
      </c>
      <c r="AR8" s="10">
        <v>21.6829</v>
      </c>
      <c r="AS8" s="10">
        <v>1.0992E-2</v>
      </c>
      <c r="AT8" s="10">
        <v>0.26746999999999999</v>
      </c>
      <c r="AU8" s="11"/>
      <c r="AV8" s="10">
        <v>0.67405999999999999</v>
      </c>
      <c r="AW8" s="10">
        <v>0.76210999999999995</v>
      </c>
      <c r="AX8" s="10">
        <v>7.7016999999999998</v>
      </c>
      <c r="AY8" s="10">
        <v>14.279</v>
      </c>
      <c r="AZ8" s="10">
        <v>9.5454000000000008</v>
      </c>
      <c r="BA8" s="10">
        <v>0.99997000000000003</v>
      </c>
      <c r="BB8" s="10">
        <v>125.4635</v>
      </c>
      <c r="BC8" s="10">
        <v>1.974</v>
      </c>
      <c r="BD8" s="10">
        <v>43.146900000000002</v>
      </c>
      <c r="BE8" s="10">
        <v>8.4272E-2</v>
      </c>
      <c r="BF8" s="10">
        <v>1.4656000000000001E-2</v>
      </c>
      <c r="BG8" s="10">
        <v>1.7464999999999999</v>
      </c>
      <c r="BH8" s="10">
        <v>2.1423000000000001</v>
      </c>
      <c r="BI8" s="10">
        <v>25.491199999999999</v>
      </c>
      <c r="BJ8" s="10">
        <v>1.2306999999999999</v>
      </c>
      <c r="BK8" s="10">
        <v>2.5648000000000001E-2</v>
      </c>
      <c r="BL8" s="11"/>
      <c r="BM8" s="10">
        <v>16.2088</v>
      </c>
      <c r="BN8" s="10">
        <v>0.40653</v>
      </c>
      <c r="BO8" s="10">
        <v>0.12091</v>
      </c>
      <c r="BP8" s="11"/>
      <c r="BQ8" s="10">
        <v>0.42491000000000001</v>
      </c>
      <c r="BR8" s="10">
        <v>22.8277</v>
      </c>
      <c r="BS8" s="10">
        <v>345.53809999999999</v>
      </c>
      <c r="BT8" s="11"/>
      <c r="BU8" s="10">
        <v>6.5951999999999997E-2</v>
      </c>
      <c r="BV8" s="10">
        <v>0.19053</v>
      </c>
      <c r="BW8" s="10">
        <v>2.9312000000000001E-2</v>
      </c>
      <c r="BX8" s="10">
        <v>13.7293</v>
      </c>
      <c r="BY8" s="10">
        <v>968.91750000000002</v>
      </c>
      <c r="BZ8" s="10">
        <v>1.6488</v>
      </c>
      <c r="CA8" s="11"/>
      <c r="CB8" s="10">
        <v>13.201599999999999</v>
      </c>
      <c r="CC8" s="10">
        <v>0.31509999999999999</v>
      </c>
      <c r="CD8" s="10">
        <v>2.1984E-2</v>
      </c>
      <c r="CE8" s="11"/>
      <c r="CF8" s="10">
        <v>1.7689999999999999</v>
      </c>
      <c r="CG8" s="10">
        <v>0.69982</v>
      </c>
      <c r="CH8" s="10">
        <v>5.8624000000000002E-2</v>
      </c>
      <c r="CI8" s="10">
        <v>0.64853000000000005</v>
      </c>
      <c r="CJ8" s="10">
        <v>0.30020999999999998</v>
      </c>
      <c r="CK8" s="10">
        <v>0.72150999999999998</v>
      </c>
      <c r="CL8" s="10">
        <v>4.2201000000000004</v>
      </c>
      <c r="CM8" s="10">
        <v>62.341200000000001</v>
      </c>
      <c r="CN8" s="10">
        <v>1.3076000000000001</v>
      </c>
      <c r="CO8" s="10">
        <v>139.68700000000001</v>
      </c>
      <c r="CP8" s="10">
        <v>22.374300000000002</v>
      </c>
      <c r="CQ8" s="10">
        <v>47.519100000000002</v>
      </c>
      <c r="CR8" s="10">
        <v>9.0640000000000001</v>
      </c>
      <c r="CS8" s="10">
        <v>14.216100000000001</v>
      </c>
      <c r="CT8" s="10">
        <v>9.1372999999999998</v>
      </c>
      <c r="CU8" s="10">
        <v>175.72110000000001</v>
      </c>
      <c r="CV8" s="10">
        <v>4.0621999999999998</v>
      </c>
      <c r="CW8" s="10">
        <v>358.89109999999999</v>
      </c>
      <c r="CX8" s="10">
        <v>1.2407999999999999</v>
      </c>
      <c r="CY8" s="10">
        <v>113.4238</v>
      </c>
      <c r="CZ8" s="10">
        <v>2.8233000000000001</v>
      </c>
      <c r="DA8" s="10">
        <v>1.8319999999999999E-2</v>
      </c>
      <c r="DB8" s="11"/>
      <c r="DC8" s="10">
        <v>25.314599999999999</v>
      </c>
      <c r="DD8" s="10">
        <v>10.452999999999999</v>
      </c>
      <c r="DE8" s="10">
        <v>0.17221</v>
      </c>
      <c r="DF8" s="10">
        <v>8.3132999999999999</v>
      </c>
      <c r="DG8" s="10">
        <v>3.2610999999999999</v>
      </c>
      <c r="DH8" s="11"/>
      <c r="DI8" s="10">
        <v>0.48365000000000002</v>
      </c>
      <c r="DJ8" s="10">
        <v>0.66317999999999999</v>
      </c>
      <c r="DK8" s="11"/>
      <c r="DL8" s="10">
        <v>15.5326</v>
      </c>
      <c r="DM8" s="10">
        <v>12.2956</v>
      </c>
      <c r="DN8" s="10">
        <v>0.12823999999999999</v>
      </c>
      <c r="DO8" s="10">
        <v>0.48347000000000001</v>
      </c>
      <c r="DP8" s="10">
        <v>0.32963999999999999</v>
      </c>
      <c r="DQ8" s="10">
        <v>7.3994</v>
      </c>
      <c r="DR8" s="11"/>
      <c r="DS8" s="10">
        <v>0.17587</v>
      </c>
      <c r="DT8" s="10">
        <v>0.49830000000000002</v>
      </c>
      <c r="DU8" s="11"/>
      <c r="DV8" s="11"/>
      <c r="DW8" s="10">
        <v>0.11724999999999999</v>
      </c>
      <c r="DX8" s="10">
        <v>0.30778</v>
      </c>
      <c r="DY8" s="10">
        <v>74.200100000000006</v>
      </c>
      <c r="DZ8" s="11"/>
      <c r="EA8" s="10">
        <v>13.5084</v>
      </c>
      <c r="EB8" s="10">
        <v>2.0445000000000002</v>
      </c>
      <c r="EC8" s="10">
        <v>0.70396999999999998</v>
      </c>
      <c r="ED8" s="10">
        <v>7.3280000000000003E-3</v>
      </c>
      <c r="EE8" s="10">
        <v>4.415</v>
      </c>
      <c r="EF8" s="10">
        <v>2.1389999999999998</v>
      </c>
      <c r="EG8" s="10">
        <v>2.8574000000000002</v>
      </c>
      <c r="EH8" s="11"/>
      <c r="EI8" s="10">
        <v>2.9312000000000001E-2</v>
      </c>
      <c r="EJ8" s="10">
        <v>0.15021999999999999</v>
      </c>
      <c r="EK8" s="10">
        <v>96.776600000000002</v>
      </c>
      <c r="EL8" s="10">
        <v>1.0992</v>
      </c>
      <c r="EM8" s="10">
        <v>13.092000000000001</v>
      </c>
      <c r="EN8" s="10">
        <v>0.94874000000000003</v>
      </c>
      <c r="EO8" s="10">
        <v>9.5264000000000001E-2</v>
      </c>
      <c r="EP8" s="10">
        <v>7.2667000000000002</v>
      </c>
      <c r="EQ8" s="11"/>
      <c r="ER8" s="10">
        <v>35.618200000000002</v>
      </c>
      <c r="ES8" s="10">
        <v>5.2134</v>
      </c>
      <c r="ET8" s="10">
        <v>16.170300000000001</v>
      </c>
      <c r="EU8" s="11"/>
      <c r="EV8" s="10">
        <v>1.0992E-2</v>
      </c>
      <c r="EW8" s="10">
        <v>16.039000000000001</v>
      </c>
      <c r="EX8" s="11"/>
      <c r="EY8" s="10">
        <v>1.2416</v>
      </c>
      <c r="EZ8" s="10">
        <v>0.26746999999999999</v>
      </c>
      <c r="FA8" s="10">
        <v>0.43225999999999998</v>
      </c>
      <c r="FB8" s="10">
        <v>12.252800000000001</v>
      </c>
      <c r="FC8" s="10">
        <v>12.822800000000001</v>
      </c>
      <c r="FD8" s="10">
        <v>242.88050000000001</v>
      </c>
      <c r="FE8" s="10">
        <v>11.007400000000001</v>
      </c>
      <c r="FF8" s="10">
        <v>6.2690999999999999</v>
      </c>
      <c r="FG8" s="10">
        <v>0.1547</v>
      </c>
      <c r="FH8" s="11"/>
      <c r="FI8" s="10">
        <v>72.037000000000006</v>
      </c>
      <c r="FJ8" s="10">
        <v>1093.5193999999999</v>
      </c>
      <c r="FK8" s="10">
        <v>3.6639999999999999E-2</v>
      </c>
      <c r="FL8" s="11"/>
      <c r="FM8" s="11"/>
      <c r="FN8" s="10">
        <v>2.1984E-2</v>
      </c>
      <c r="FO8" s="10">
        <v>4.7632000000000001E-2</v>
      </c>
      <c r="FP8" s="10">
        <v>1.8319999999999999E-2</v>
      </c>
      <c r="FQ8" s="10">
        <v>2.5648000000000001E-2</v>
      </c>
      <c r="FR8" s="10">
        <v>1.0992E-2</v>
      </c>
      <c r="FS8" s="10">
        <v>7.0411999999999999</v>
      </c>
      <c r="FT8" s="10">
        <v>0.92249999999999999</v>
      </c>
      <c r="FU8" s="10">
        <v>20.7438</v>
      </c>
      <c r="FV8" s="10">
        <v>7.3280000000000003E-3</v>
      </c>
      <c r="FW8" s="10">
        <v>0.30410999999999999</v>
      </c>
      <c r="FX8" s="10">
        <v>3.6998000000000002</v>
      </c>
      <c r="FY8" s="10">
        <v>40.065899999999999</v>
      </c>
      <c r="FZ8" s="10">
        <v>5.8864000000000001</v>
      </c>
      <c r="GA8" s="10">
        <v>1.8319999999999999E-2</v>
      </c>
      <c r="GB8" s="10">
        <v>0.13557</v>
      </c>
      <c r="GC8" s="10">
        <v>119.54600000000001</v>
      </c>
      <c r="GD8" s="10">
        <v>22.1952</v>
      </c>
      <c r="GE8" s="10">
        <v>64.323800000000006</v>
      </c>
      <c r="GF8" s="10">
        <v>2.2713999999999999</v>
      </c>
      <c r="GG8" s="10">
        <v>1.7027000000000001</v>
      </c>
      <c r="GH8" s="10">
        <v>0.60455999999999999</v>
      </c>
      <c r="GI8" s="10">
        <v>1.0992E-2</v>
      </c>
      <c r="GJ8" s="10">
        <v>60.368099999999998</v>
      </c>
      <c r="GK8" s="10">
        <v>28.125699999999998</v>
      </c>
      <c r="GL8" s="10">
        <v>4.3613</v>
      </c>
      <c r="GM8" s="10">
        <v>16.9072</v>
      </c>
      <c r="GN8" s="10">
        <v>5.0221999999999998</v>
      </c>
      <c r="GO8" s="10">
        <v>1.0331999999999999</v>
      </c>
      <c r="GP8" s="10">
        <v>7.4702999999999999</v>
      </c>
      <c r="GQ8" s="11"/>
      <c r="GR8" s="10">
        <v>0.13189999999999999</v>
      </c>
      <c r="GS8" s="10">
        <v>1.0992E-2</v>
      </c>
      <c r="GT8" s="10">
        <v>3.7915000000000001</v>
      </c>
      <c r="GU8" s="10">
        <v>2.7534999999999998</v>
      </c>
      <c r="GV8" s="10">
        <v>26.303000000000001</v>
      </c>
      <c r="GW8" s="10">
        <v>20.464700000000001</v>
      </c>
      <c r="GX8" s="11"/>
      <c r="GY8" s="11"/>
      <c r="GZ8" s="10">
        <v>0.49068000000000001</v>
      </c>
      <c r="HA8" s="10">
        <v>330.18819999999999</v>
      </c>
      <c r="HB8" s="10">
        <v>1.8319999999999999E-2</v>
      </c>
      <c r="HC8" s="10">
        <v>607.86599999999999</v>
      </c>
      <c r="HD8" s="10">
        <v>3252.7552000000001</v>
      </c>
      <c r="HE8" s="10">
        <v>4.5526999999999997</v>
      </c>
      <c r="HF8" s="10">
        <v>54.985900000000001</v>
      </c>
      <c r="HG8" s="10">
        <v>6.2288000000000003E-2</v>
      </c>
      <c r="HH8" s="10">
        <v>56.55</v>
      </c>
      <c r="HI8" s="10">
        <v>11.787800000000001</v>
      </c>
      <c r="HJ8" s="11"/>
      <c r="HK8" s="11"/>
      <c r="HL8" s="10">
        <v>3.6309999999999998</v>
      </c>
      <c r="HM8" s="10">
        <v>3.2749999999999999</v>
      </c>
      <c r="HN8" s="10">
        <v>4.4691000000000001</v>
      </c>
      <c r="HO8" s="10">
        <f t="shared" si="0"/>
        <v>10455.055594999996</v>
      </c>
      <c r="HP8" s="10">
        <f t="shared" si="1"/>
        <v>10.455055594999996</v>
      </c>
      <c r="HQ8" s="10">
        <f t="shared" si="2"/>
        <v>2.8511196059449131</v>
      </c>
      <c r="HR8" s="11"/>
      <c r="HS8" s="11"/>
      <c r="HT8" s="11"/>
      <c r="HU8" s="11"/>
      <c r="HV8" s="11"/>
      <c r="HW8" s="11"/>
    </row>
    <row r="9" spans="1:231" ht="19.95" customHeight="1">
      <c r="A9" s="8">
        <v>1965</v>
      </c>
      <c r="B9" s="9">
        <v>1.0068999999999999</v>
      </c>
      <c r="C9" s="10">
        <v>2.1728000000000001</v>
      </c>
      <c r="D9" s="10">
        <v>6.5884999999999998</v>
      </c>
      <c r="E9" s="11"/>
      <c r="F9" s="10">
        <v>1.1861999999999999</v>
      </c>
      <c r="G9" s="11"/>
      <c r="H9" s="10">
        <v>0.15021999999999999</v>
      </c>
      <c r="I9" s="10">
        <v>58.8048</v>
      </c>
      <c r="J9" s="10">
        <v>9.5519999999999996</v>
      </c>
      <c r="K9" s="10">
        <v>0.59238999999999997</v>
      </c>
      <c r="L9" s="10">
        <v>120.8527</v>
      </c>
      <c r="M9" s="10">
        <v>38.140599999999999</v>
      </c>
      <c r="N9" s="10">
        <v>27.360700000000001</v>
      </c>
      <c r="O9" s="10">
        <v>1.3153999999999999</v>
      </c>
      <c r="P9" s="10">
        <v>1.2274</v>
      </c>
      <c r="Q9" s="10">
        <v>3.1213000000000002</v>
      </c>
      <c r="R9" s="10">
        <v>0.20518</v>
      </c>
      <c r="S9" s="10">
        <v>59.832999999999998</v>
      </c>
      <c r="T9" s="10">
        <v>105.3308</v>
      </c>
      <c r="U9" s="10">
        <v>8.4272E-2</v>
      </c>
      <c r="V9" s="10">
        <v>0.15021999999999999</v>
      </c>
      <c r="W9" s="10">
        <v>0.17954000000000001</v>
      </c>
      <c r="X9" s="11"/>
      <c r="Y9" s="10">
        <v>1.5093000000000001</v>
      </c>
      <c r="Z9" s="10">
        <v>0.45073000000000002</v>
      </c>
      <c r="AA9" s="10">
        <v>7.34</v>
      </c>
      <c r="AB9" s="11"/>
      <c r="AC9" s="10">
        <v>56.329599999999999</v>
      </c>
      <c r="AD9" s="10">
        <v>7.3280000000000003E-3</v>
      </c>
      <c r="AE9" s="10">
        <v>0.33341999999999999</v>
      </c>
      <c r="AF9" s="10">
        <v>46.269100000000002</v>
      </c>
      <c r="AG9" s="10">
        <v>0.10259</v>
      </c>
      <c r="AH9" s="10">
        <v>3.6639999999999999E-2</v>
      </c>
      <c r="AI9" s="10">
        <v>0.40283000000000002</v>
      </c>
      <c r="AJ9" s="10">
        <v>0.31143999999999999</v>
      </c>
      <c r="AK9" s="10">
        <v>251.917</v>
      </c>
      <c r="AL9" s="10">
        <v>2.5589000000000001E-2</v>
      </c>
      <c r="AM9" s="11"/>
      <c r="AN9" s="10">
        <v>8.7936E-2</v>
      </c>
      <c r="AO9" s="10">
        <v>0.10625999999999999</v>
      </c>
      <c r="AP9" s="10">
        <v>17.747299999999999</v>
      </c>
      <c r="AQ9" s="10">
        <v>474.68060000000003</v>
      </c>
      <c r="AR9" s="10">
        <v>22.858699999999999</v>
      </c>
      <c r="AS9" s="10">
        <v>1.4656000000000001E-2</v>
      </c>
      <c r="AT9" s="10">
        <v>0.24549000000000001</v>
      </c>
      <c r="AU9" s="11"/>
      <c r="AV9" s="10">
        <v>0.84591000000000005</v>
      </c>
      <c r="AW9" s="10">
        <v>1.1725000000000001</v>
      </c>
      <c r="AX9" s="10">
        <v>7.931</v>
      </c>
      <c r="AY9" s="10">
        <v>14.594099999999999</v>
      </c>
      <c r="AZ9" s="10">
        <v>8.5640000000000001</v>
      </c>
      <c r="BA9" s="10">
        <v>1.1500999999999999</v>
      </c>
      <c r="BB9" s="10">
        <v>122.24939999999999</v>
      </c>
      <c r="BC9" s="10">
        <v>2.4685000000000001</v>
      </c>
      <c r="BD9" s="10">
        <v>44.293399999999998</v>
      </c>
      <c r="BE9" s="10">
        <v>0.12091</v>
      </c>
      <c r="BF9" s="10">
        <v>1.4656000000000001E-2</v>
      </c>
      <c r="BG9" s="10">
        <v>1.5452999999999999</v>
      </c>
      <c r="BH9" s="10">
        <v>2.274</v>
      </c>
      <c r="BI9" s="10">
        <v>27.609500000000001</v>
      </c>
      <c r="BJ9" s="10">
        <v>1.0402</v>
      </c>
      <c r="BK9" s="10">
        <v>2.9312000000000001E-2</v>
      </c>
      <c r="BL9" s="11"/>
      <c r="BM9" s="10">
        <v>17.188199999999998</v>
      </c>
      <c r="BN9" s="10">
        <v>0.64448000000000005</v>
      </c>
      <c r="BO9" s="10">
        <v>0.13557</v>
      </c>
      <c r="BP9" s="11"/>
      <c r="BQ9" s="10">
        <v>0.34427000000000002</v>
      </c>
      <c r="BR9" s="10">
        <v>25.3001</v>
      </c>
      <c r="BS9" s="10">
        <v>352.11160000000001</v>
      </c>
      <c r="BT9" s="11"/>
      <c r="BU9" s="10">
        <v>8.4272E-2</v>
      </c>
      <c r="BV9" s="10">
        <v>0.21618000000000001</v>
      </c>
      <c r="BW9" s="10">
        <v>2.9312000000000001E-2</v>
      </c>
      <c r="BX9" s="10">
        <v>14.564399999999999</v>
      </c>
      <c r="BY9" s="10">
        <v>960.10220000000004</v>
      </c>
      <c r="BZ9" s="10">
        <v>1.7038</v>
      </c>
      <c r="CA9" s="11"/>
      <c r="CB9" s="10">
        <v>16.998999999999999</v>
      </c>
      <c r="CC9" s="10">
        <v>0.34442</v>
      </c>
      <c r="CD9" s="10">
        <v>2.1984E-2</v>
      </c>
      <c r="CE9" s="11"/>
      <c r="CF9" s="10">
        <v>1.9739</v>
      </c>
      <c r="CG9" s="10">
        <v>0.69616</v>
      </c>
      <c r="CH9" s="10">
        <v>6.5951999999999997E-2</v>
      </c>
      <c r="CI9" s="10">
        <v>1.0771999999999999</v>
      </c>
      <c r="CJ9" s="10">
        <v>0.30392999999999998</v>
      </c>
      <c r="CK9" s="10">
        <v>0.75073000000000001</v>
      </c>
      <c r="CL9" s="10">
        <v>4.8025000000000002</v>
      </c>
      <c r="CM9" s="10">
        <v>61.234099999999998</v>
      </c>
      <c r="CN9" s="10">
        <v>1.3955</v>
      </c>
      <c r="CO9" s="10">
        <v>153.9205</v>
      </c>
      <c r="CP9" s="10">
        <v>24.668199999999999</v>
      </c>
      <c r="CQ9" s="10">
        <v>53.718400000000003</v>
      </c>
      <c r="CR9" s="10">
        <v>19.293099999999999</v>
      </c>
      <c r="CS9" s="10">
        <v>13.7174</v>
      </c>
      <c r="CT9" s="10">
        <v>12.928800000000001</v>
      </c>
      <c r="CU9" s="10">
        <v>189.5284</v>
      </c>
      <c r="CV9" s="10">
        <v>2.9885999999999999</v>
      </c>
      <c r="CW9" s="10">
        <v>386.47120000000001</v>
      </c>
      <c r="CX9" s="10">
        <v>1.4204000000000001</v>
      </c>
      <c r="CY9" s="10">
        <v>120.3236</v>
      </c>
      <c r="CZ9" s="10">
        <v>2.4639000000000002</v>
      </c>
      <c r="DA9" s="10">
        <v>1.0992E-2</v>
      </c>
      <c r="DB9" s="11"/>
      <c r="DC9" s="10">
        <v>35.390599999999999</v>
      </c>
      <c r="DD9" s="10">
        <v>11.0892</v>
      </c>
      <c r="DE9" s="10">
        <v>0.17954000000000001</v>
      </c>
      <c r="DF9" s="10">
        <v>8.8187999999999995</v>
      </c>
      <c r="DG9" s="10">
        <v>3.3119999999999998</v>
      </c>
      <c r="DH9" s="11"/>
      <c r="DI9" s="10">
        <v>0.55693000000000004</v>
      </c>
      <c r="DJ9" s="10">
        <v>1.0148999999999999</v>
      </c>
      <c r="DK9" s="11"/>
      <c r="DL9" s="10">
        <v>16.478300000000001</v>
      </c>
      <c r="DM9" s="10">
        <v>12.1929</v>
      </c>
      <c r="DN9" s="10">
        <v>0.13189999999999999</v>
      </c>
      <c r="DO9" s="10">
        <v>0.55678000000000005</v>
      </c>
      <c r="DP9" s="10">
        <v>0.34795999999999999</v>
      </c>
      <c r="DQ9" s="10">
        <v>8.3802000000000003</v>
      </c>
      <c r="DR9" s="11"/>
      <c r="DS9" s="10">
        <v>0.19786000000000001</v>
      </c>
      <c r="DT9" s="10">
        <v>0.47266000000000002</v>
      </c>
      <c r="DU9" s="11"/>
      <c r="DV9" s="11"/>
      <c r="DW9" s="10">
        <v>0.16122</v>
      </c>
      <c r="DX9" s="10">
        <v>0.30410999999999999</v>
      </c>
      <c r="DY9" s="10">
        <v>75.167900000000003</v>
      </c>
      <c r="DZ9" s="11"/>
      <c r="EA9" s="10">
        <v>14.33</v>
      </c>
      <c r="EB9" s="10">
        <v>1.9565999999999999</v>
      </c>
      <c r="EC9" s="10">
        <v>0.72431000000000001</v>
      </c>
      <c r="ED9" s="10">
        <v>3.6640000000000002E-3</v>
      </c>
      <c r="EE9" s="10">
        <v>4.2544000000000004</v>
      </c>
      <c r="EF9" s="10">
        <v>2.0032999999999999</v>
      </c>
      <c r="EG9" s="10">
        <v>2.7254999999999998</v>
      </c>
      <c r="EH9" s="11"/>
      <c r="EI9" s="10">
        <v>3.2975999999999998E-2</v>
      </c>
      <c r="EJ9" s="10">
        <v>0.17954000000000001</v>
      </c>
      <c r="EK9" s="10">
        <v>100.4036</v>
      </c>
      <c r="EL9" s="10">
        <v>1.2311000000000001</v>
      </c>
      <c r="EM9" s="10">
        <v>13.6853</v>
      </c>
      <c r="EN9" s="10">
        <v>0.78015999999999996</v>
      </c>
      <c r="EO9" s="10">
        <v>9.1600000000000001E-2</v>
      </c>
      <c r="EP9" s="10">
        <v>11.7501</v>
      </c>
      <c r="EQ9" s="11"/>
      <c r="ER9" s="10">
        <v>44.222099999999998</v>
      </c>
      <c r="ES9" s="10">
        <v>5.3640999999999996</v>
      </c>
      <c r="ET9" s="10">
        <v>16.389900000000001</v>
      </c>
      <c r="EU9" s="11"/>
      <c r="EV9" s="10">
        <v>2.5648000000000001E-2</v>
      </c>
      <c r="EW9" s="10">
        <v>16.829599999999999</v>
      </c>
      <c r="EX9" s="11"/>
      <c r="EY9" s="10">
        <v>1.5271999999999999</v>
      </c>
      <c r="EZ9" s="10">
        <v>0.30410999999999999</v>
      </c>
      <c r="FA9" s="10">
        <v>0.54947999999999997</v>
      </c>
      <c r="FB9" s="10">
        <v>11.951499999999999</v>
      </c>
      <c r="FC9" s="10">
        <v>13.964600000000001</v>
      </c>
      <c r="FD9" s="10">
        <v>246.98089999999999</v>
      </c>
      <c r="FE9" s="10">
        <v>11.5825</v>
      </c>
      <c r="FF9" s="10">
        <v>6.2873999999999999</v>
      </c>
      <c r="FG9" s="10">
        <v>0.20199</v>
      </c>
      <c r="FH9" s="11"/>
      <c r="FI9" s="10">
        <v>78.636899999999997</v>
      </c>
      <c r="FJ9" s="10">
        <v>1159.9853000000001</v>
      </c>
      <c r="FK9" s="10">
        <v>4.7632000000000001E-2</v>
      </c>
      <c r="FL9" s="11"/>
      <c r="FM9" s="11"/>
      <c r="FN9" s="10">
        <v>2.5648000000000001E-2</v>
      </c>
      <c r="FO9" s="10">
        <v>4.0304E-2</v>
      </c>
      <c r="FP9" s="10">
        <v>1.4656000000000001E-2</v>
      </c>
      <c r="FQ9" s="10">
        <v>2.9312000000000001E-2</v>
      </c>
      <c r="FR9" s="10">
        <v>1.0992E-2</v>
      </c>
      <c r="FS9" s="10">
        <v>4.2163000000000004</v>
      </c>
      <c r="FT9" s="10">
        <v>1.6919999999999999</v>
      </c>
      <c r="FU9" s="10">
        <v>21.343699999999998</v>
      </c>
      <c r="FV9" s="10">
        <v>7.3280000000000003E-3</v>
      </c>
      <c r="FW9" s="10">
        <v>0.28212999999999999</v>
      </c>
      <c r="FX9" s="10">
        <v>2.5272999999999999</v>
      </c>
      <c r="FY9" s="10">
        <v>39.0398</v>
      </c>
      <c r="FZ9" s="10">
        <v>6.0571999999999999</v>
      </c>
      <c r="GA9" s="10">
        <v>2.5648000000000001E-2</v>
      </c>
      <c r="GB9" s="10">
        <v>0.13189999999999999</v>
      </c>
      <c r="GC9" s="10">
        <v>128.13999999999999</v>
      </c>
      <c r="GD9" s="10">
        <v>24.978300000000001</v>
      </c>
      <c r="GE9" s="10">
        <v>71.020499999999998</v>
      </c>
      <c r="GF9" s="10">
        <v>2.6560000000000001</v>
      </c>
      <c r="GG9" s="10">
        <v>2.2233000000000001</v>
      </c>
      <c r="GH9" s="10">
        <v>0.79508999999999996</v>
      </c>
      <c r="GI9" s="10">
        <v>8.0607999999999999E-2</v>
      </c>
      <c r="GJ9" s="10">
        <v>62.562199999999997</v>
      </c>
      <c r="GK9" s="10">
        <v>30.328900000000001</v>
      </c>
      <c r="GL9" s="10">
        <v>3.6722999999999999</v>
      </c>
      <c r="GM9" s="10">
        <v>17.844799999999999</v>
      </c>
      <c r="GN9" s="10">
        <v>5.3276000000000003</v>
      </c>
      <c r="GO9" s="10">
        <v>1.1615</v>
      </c>
      <c r="GP9" s="10">
        <v>7.4401999999999999</v>
      </c>
      <c r="GQ9" s="11"/>
      <c r="GR9" s="10">
        <v>0.13189999999999999</v>
      </c>
      <c r="GS9" s="10">
        <v>1.0992E-2</v>
      </c>
      <c r="GT9" s="10">
        <v>5.1910999999999996</v>
      </c>
      <c r="GU9" s="10">
        <v>2.4603999999999999</v>
      </c>
      <c r="GV9" s="10">
        <v>27.353000000000002</v>
      </c>
      <c r="GW9" s="10">
        <v>21.709299999999999</v>
      </c>
      <c r="GX9" s="11"/>
      <c r="GY9" s="11"/>
      <c r="GZ9" s="10">
        <v>0.62600999999999996</v>
      </c>
      <c r="HA9" s="10">
        <v>350.2842</v>
      </c>
      <c r="HB9" s="10">
        <v>2.1984E-2</v>
      </c>
      <c r="HC9" s="10">
        <v>622.11159999999995</v>
      </c>
      <c r="HD9" s="10">
        <v>3388.1927000000001</v>
      </c>
      <c r="HE9" s="10">
        <v>5.5163000000000002</v>
      </c>
      <c r="HF9" s="10">
        <v>58.331499999999998</v>
      </c>
      <c r="HG9" s="10">
        <v>4.7632000000000001E-2</v>
      </c>
      <c r="HH9" s="10">
        <v>60.729599999999998</v>
      </c>
      <c r="HI9" s="10">
        <v>13.149900000000001</v>
      </c>
      <c r="HJ9" s="11"/>
      <c r="HK9" s="11"/>
      <c r="HL9" s="10">
        <v>3.9278</v>
      </c>
      <c r="HM9" s="10">
        <v>3.9123000000000001</v>
      </c>
      <c r="HN9" s="10">
        <v>5.2092000000000001</v>
      </c>
      <c r="HO9" s="10">
        <f t="shared" si="0"/>
        <v>10944.427175000003</v>
      </c>
      <c r="HP9" s="10">
        <f t="shared" si="1"/>
        <v>10.944427175000003</v>
      </c>
      <c r="HQ9" s="10">
        <f t="shared" si="2"/>
        <v>2.9845724502317981</v>
      </c>
      <c r="HR9" s="11"/>
      <c r="HS9" s="11"/>
      <c r="HT9" s="11"/>
      <c r="HU9" s="11"/>
      <c r="HV9" s="11"/>
      <c r="HW9" s="11"/>
    </row>
    <row r="10" spans="1:231" ht="19.95" customHeight="1">
      <c r="A10" s="8">
        <v>1966</v>
      </c>
      <c r="B10" s="9">
        <v>1.0911999999999999</v>
      </c>
      <c r="C10" s="10">
        <v>2.5501</v>
      </c>
      <c r="D10" s="10">
        <v>8.4208999999999996</v>
      </c>
      <c r="E10" s="11"/>
      <c r="F10" s="10">
        <v>1.5525</v>
      </c>
      <c r="G10" s="11"/>
      <c r="H10" s="10">
        <v>0.34808</v>
      </c>
      <c r="I10" s="10">
        <v>63.072699999999998</v>
      </c>
      <c r="J10" s="10">
        <v>10.0875</v>
      </c>
      <c r="K10" s="10">
        <v>0.55393999999999999</v>
      </c>
      <c r="L10" s="10">
        <v>120.2193</v>
      </c>
      <c r="M10" s="10">
        <v>39.208599999999997</v>
      </c>
      <c r="N10" s="10">
        <v>28.894600000000001</v>
      </c>
      <c r="O10" s="10">
        <v>1.0919000000000001</v>
      </c>
      <c r="P10" s="10">
        <v>0.64853000000000005</v>
      </c>
      <c r="Q10" s="10">
        <v>3.1762999999999999</v>
      </c>
      <c r="R10" s="10">
        <v>0.26746999999999999</v>
      </c>
      <c r="S10" s="10">
        <v>63.187800000000003</v>
      </c>
      <c r="T10" s="10">
        <v>105.0967</v>
      </c>
      <c r="U10" s="10">
        <v>8.0607999999999999E-2</v>
      </c>
      <c r="V10" s="10">
        <v>0.11358</v>
      </c>
      <c r="W10" s="10">
        <v>0.20152</v>
      </c>
      <c r="X10" s="11"/>
      <c r="Y10" s="10">
        <v>1.6888000000000001</v>
      </c>
      <c r="Z10" s="10">
        <v>0.42148000000000002</v>
      </c>
      <c r="AA10" s="10">
        <v>7.2733999999999996</v>
      </c>
      <c r="AB10" s="11"/>
      <c r="AC10" s="10">
        <v>64.211600000000004</v>
      </c>
      <c r="AD10" s="10">
        <v>1.0992E-2</v>
      </c>
      <c r="AE10" s="10">
        <v>0.49098000000000003</v>
      </c>
      <c r="AF10" s="10">
        <v>48.716000000000001</v>
      </c>
      <c r="AG10" s="10">
        <v>0.10259</v>
      </c>
      <c r="AH10" s="10">
        <v>4.7632000000000001E-2</v>
      </c>
      <c r="AI10" s="10">
        <v>0.46875</v>
      </c>
      <c r="AJ10" s="10">
        <v>0.34442</v>
      </c>
      <c r="AK10" s="10">
        <v>259.07440000000003</v>
      </c>
      <c r="AL10" s="10">
        <v>2.1984E-2</v>
      </c>
      <c r="AM10" s="11"/>
      <c r="AN10" s="10">
        <v>8.4272E-2</v>
      </c>
      <c r="AO10" s="10">
        <v>8.4272E-2</v>
      </c>
      <c r="AP10" s="10">
        <v>18.772500000000001</v>
      </c>
      <c r="AQ10" s="10">
        <v>521.45889999999997</v>
      </c>
      <c r="AR10" s="10">
        <v>23.4742</v>
      </c>
      <c r="AS10" s="10">
        <v>1.8319999999999999E-2</v>
      </c>
      <c r="AT10" s="10">
        <v>0.30778</v>
      </c>
      <c r="AU10" s="11"/>
      <c r="AV10" s="10">
        <v>0.99246999999999996</v>
      </c>
      <c r="AW10" s="10">
        <v>1.2383999999999999</v>
      </c>
      <c r="AX10" s="10">
        <v>7.8613999999999997</v>
      </c>
      <c r="AY10" s="10">
        <v>15.1694</v>
      </c>
      <c r="AZ10" s="10">
        <v>8.0082000000000004</v>
      </c>
      <c r="BA10" s="10">
        <v>1.2417</v>
      </c>
      <c r="BB10" s="10">
        <v>121.5591</v>
      </c>
      <c r="BC10" s="10">
        <v>2.4024999999999999</v>
      </c>
      <c r="BD10" s="10">
        <v>50.078400000000002</v>
      </c>
      <c r="BE10" s="10">
        <v>0.13922999999999999</v>
      </c>
      <c r="BF10" s="10">
        <v>1.4656000000000001E-2</v>
      </c>
      <c r="BG10" s="10">
        <v>1.6697</v>
      </c>
      <c r="BH10" s="10">
        <v>2.4167000000000001</v>
      </c>
      <c r="BI10" s="10">
        <v>26.5322</v>
      </c>
      <c r="BJ10" s="10">
        <v>1.3038000000000001</v>
      </c>
      <c r="BK10" s="10">
        <v>2.5648000000000001E-2</v>
      </c>
      <c r="BL10" s="11"/>
      <c r="BM10" s="10">
        <v>18.144300000000001</v>
      </c>
      <c r="BN10" s="10">
        <v>0.82398000000000005</v>
      </c>
      <c r="BO10" s="10">
        <v>0.13922999999999999</v>
      </c>
      <c r="BP10" s="11"/>
      <c r="BQ10" s="10">
        <v>0.32224999999999998</v>
      </c>
      <c r="BR10" s="10">
        <v>29.488800000000001</v>
      </c>
      <c r="BS10" s="10">
        <v>347.60480000000001</v>
      </c>
      <c r="BT10" s="11"/>
      <c r="BU10" s="10">
        <v>0.12091</v>
      </c>
      <c r="BV10" s="10">
        <v>0.38106000000000001</v>
      </c>
      <c r="BW10" s="10">
        <v>3.2975999999999998E-2</v>
      </c>
      <c r="BX10" s="10">
        <v>15.381</v>
      </c>
      <c r="BY10" s="10">
        <v>951.42200000000003</v>
      </c>
      <c r="BZ10" s="10">
        <v>1.44</v>
      </c>
      <c r="CA10" s="11"/>
      <c r="CB10" s="10">
        <v>18.6206</v>
      </c>
      <c r="CC10" s="10">
        <v>0.38838</v>
      </c>
      <c r="CD10" s="10">
        <v>2.9312000000000001E-2</v>
      </c>
      <c r="CE10" s="11"/>
      <c r="CF10" s="10">
        <v>1.7396</v>
      </c>
      <c r="CG10" s="10">
        <v>0.71814</v>
      </c>
      <c r="CH10" s="10">
        <v>6.5951999999999997E-2</v>
      </c>
      <c r="CI10" s="10">
        <v>1.1798</v>
      </c>
      <c r="CJ10" s="10">
        <v>0.30396000000000001</v>
      </c>
      <c r="CK10" s="10">
        <v>0.80566000000000004</v>
      </c>
      <c r="CL10" s="10">
        <v>5.1616</v>
      </c>
      <c r="CM10" s="10">
        <v>61.672899999999998</v>
      </c>
      <c r="CN10" s="10">
        <v>1.4944</v>
      </c>
      <c r="CO10" s="10">
        <v>159.59289999999999</v>
      </c>
      <c r="CP10" s="10">
        <v>23.375</v>
      </c>
      <c r="CQ10" s="10">
        <v>64.103399999999993</v>
      </c>
      <c r="CR10" s="10">
        <v>27.676100000000002</v>
      </c>
      <c r="CS10" s="10">
        <v>15.094900000000001</v>
      </c>
      <c r="CT10" s="10">
        <v>13.5814</v>
      </c>
      <c r="CU10" s="10">
        <v>213.98230000000001</v>
      </c>
      <c r="CV10" s="10">
        <v>3.516</v>
      </c>
      <c r="CW10" s="10">
        <v>419.24509999999998</v>
      </c>
      <c r="CX10" s="10">
        <v>1.5812999999999999</v>
      </c>
      <c r="CY10" s="10">
        <v>127.0707</v>
      </c>
      <c r="CZ10" s="10">
        <v>2.6800999999999999</v>
      </c>
      <c r="DA10" s="10">
        <v>1.0992E-2</v>
      </c>
      <c r="DB10" s="11"/>
      <c r="DC10" s="10">
        <v>35.123100000000001</v>
      </c>
      <c r="DD10" s="10">
        <v>11.711399999999999</v>
      </c>
      <c r="DE10" s="10">
        <v>0.23449999999999999</v>
      </c>
      <c r="DF10" s="10">
        <v>9.3131000000000004</v>
      </c>
      <c r="DG10" s="10">
        <v>3.6229</v>
      </c>
      <c r="DH10" s="11"/>
      <c r="DI10" s="10">
        <v>0.61189000000000004</v>
      </c>
      <c r="DJ10" s="10">
        <v>2.6271</v>
      </c>
      <c r="DK10" s="11"/>
      <c r="DL10" s="10">
        <v>17.403099999999998</v>
      </c>
      <c r="DM10" s="10">
        <v>11.6104</v>
      </c>
      <c r="DN10" s="10">
        <v>0.15021999999999999</v>
      </c>
      <c r="DO10" s="10">
        <v>0.57869999999999999</v>
      </c>
      <c r="DP10" s="10">
        <v>0.42851</v>
      </c>
      <c r="DQ10" s="10">
        <v>9.8344000000000005</v>
      </c>
      <c r="DR10" s="11"/>
      <c r="DS10" s="10">
        <v>0.19053</v>
      </c>
      <c r="DT10" s="10">
        <v>0.41403000000000001</v>
      </c>
      <c r="DU10" s="11"/>
      <c r="DV10" s="11"/>
      <c r="DW10" s="10">
        <v>0.17954000000000001</v>
      </c>
      <c r="DX10" s="10">
        <v>0.27479999999999999</v>
      </c>
      <c r="DY10" s="10">
        <v>80.8446</v>
      </c>
      <c r="DZ10" s="11"/>
      <c r="EA10" s="10">
        <v>15.1335</v>
      </c>
      <c r="EB10" s="10">
        <v>1.9529000000000001</v>
      </c>
      <c r="EC10" s="10">
        <v>0.71772999999999998</v>
      </c>
      <c r="ED10" s="10">
        <v>7.3280000000000003E-3</v>
      </c>
      <c r="EE10" s="10">
        <v>5.4595000000000002</v>
      </c>
      <c r="EF10" s="10">
        <v>2.1242000000000001</v>
      </c>
      <c r="EG10" s="10">
        <v>2.8060999999999998</v>
      </c>
      <c r="EH10" s="11"/>
      <c r="EI10" s="10">
        <v>3.2975999999999998E-2</v>
      </c>
      <c r="EJ10" s="10">
        <v>0.19053</v>
      </c>
      <c r="EK10" s="10">
        <v>103.5575</v>
      </c>
      <c r="EL10" s="10">
        <v>1.5096000000000001</v>
      </c>
      <c r="EM10" s="10">
        <v>14.000299999999999</v>
      </c>
      <c r="EN10" s="10">
        <v>0.95964000000000005</v>
      </c>
      <c r="EO10" s="10">
        <v>0.13550999999999999</v>
      </c>
      <c r="EP10" s="10">
        <v>12.8932</v>
      </c>
      <c r="EQ10" s="11"/>
      <c r="ER10" s="10">
        <v>47.599899999999998</v>
      </c>
      <c r="ES10" s="10">
        <v>5.3152999999999997</v>
      </c>
      <c r="ET10" s="10">
        <v>19.540099999999999</v>
      </c>
      <c r="EU10" s="11"/>
      <c r="EV10" s="10">
        <v>2.9312000000000001E-2</v>
      </c>
      <c r="EW10" s="10">
        <v>17.125699999999998</v>
      </c>
      <c r="EX10" s="11"/>
      <c r="EY10" s="10">
        <v>1.6555</v>
      </c>
      <c r="EZ10" s="10">
        <v>0.34075</v>
      </c>
      <c r="FA10" s="10">
        <v>0.51283999999999996</v>
      </c>
      <c r="FB10" s="10">
        <v>13.241099999999999</v>
      </c>
      <c r="FC10" s="10">
        <v>16.104099999999999</v>
      </c>
      <c r="FD10" s="10">
        <v>252.43100000000001</v>
      </c>
      <c r="FE10" s="10">
        <v>11.835100000000001</v>
      </c>
      <c r="FF10" s="10">
        <v>6.2728000000000002</v>
      </c>
      <c r="FG10" s="10">
        <v>0.21998999999999999</v>
      </c>
      <c r="FH10" s="11"/>
      <c r="FI10" s="10">
        <v>84.090699999999998</v>
      </c>
      <c r="FJ10" s="10">
        <v>1224.9762000000001</v>
      </c>
      <c r="FK10" s="10">
        <v>4.3968E-2</v>
      </c>
      <c r="FL10" s="11"/>
      <c r="FM10" s="11"/>
      <c r="FN10" s="10">
        <v>2.9312000000000001E-2</v>
      </c>
      <c r="FO10" s="10">
        <v>4.3968E-2</v>
      </c>
      <c r="FP10" s="10">
        <v>1.8319999999999999E-2</v>
      </c>
      <c r="FQ10" s="10">
        <v>2.5648000000000001E-2</v>
      </c>
      <c r="FR10" s="10">
        <v>1.0992E-2</v>
      </c>
      <c r="FS10" s="10">
        <v>6.4073000000000002</v>
      </c>
      <c r="FT10" s="10">
        <v>1.7176</v>
      </c>
      <c r="FU10" s="10">
        <v>21.151900000000001</v>
      </c>
      <c r="FV10" s="10">
        <v>7.3280000000000003E-3</v>
      </c>
      <c r="FW10" s="10">
        <v>0.30044999999999999</v>
      </c>
      <c r="FX10" s="10">
        <v>0.67259000000000002</v>
      </c>
      <c r="FY10" s="10">
        <v>38.819800000000001</v>
      </c>
      <c r="FZ10" s="10">
        <v>6.0018000000000002</v>
      </c>
      <c r="GA10" s="10">
        <v>2.5648000000000001E-2</v>
      </c>
      <c r="GB10" s="10">
        <v>0.13922999999999999</v>
      </c>
      <c r="GC10" s="10">
        <v>128.23490000000001</v>
      </c>
      <c r="GD10" s="10">
        <v>29.982199999999999</v>
      </c>
      <c r="GE10" s="10">
        <v>77.617000000000004</v>
      </c>
      <c r="GF10" s="10">
        <v>2.6597</v>
      </c>
      <c r="GG10" s="10">
        <v>2.4214000000000002</v>
      </c>
      <c r="GH10" s="10">
        <v>1.0954999999999999</v>
      </c>
      <c r="GI10" s="10">
        <v>0.20152</v>
      </c>
      <c r="GJ10" s="10">
        <v>72.517399999999995</v>
      </c>
      <c r="GK10" s="10">
        <v>31.485600000000002</v>
      </c>
      <c r="GL10" s="10">
        <v>4.9108999999999998</v>
      </c>
      <c r="GM10" s="10">
        <v>19.461600000000001</v>
      </c>
      <c r="GN10" s="10">
        <v>5.6264000000000003</v>
      </c>
      <c r="GO10" s="10">
        <v>1.3701000000000001</v>
      </c>
      <c r="GP10" s="10">
        <v>9.4654000000000007</v>
      </c>
      <c r="GQ10" s="11"/>
      <c r="GR10" s="10">
        <v>0.17954000000000001</v>
      </c>
      <c r="GS10" s="10">
        <v>1.0992E-2</v>
      </c>
      <c r="GT10" s="10">
        <v>4.0514999999999999</v>
      </c>
      <c r="GU10" s="10">
        <v>2.8816000000000002</v>
      </c>
      <c r="GV10" s="10">
        <v>31.505800000000001</v>
      </c>
      <c r="GW10" s="10">
        <v>22.926600000000001</v>
      </c>
      <c r="GX10" s="11"/>
      <c r="GY10" s="11"/>
      <c r="GZ10" s="10">
        <v>0.73231999999999997</v>
      </c>
      <c r="HA10" s="10">
        <v>369.93639999999999</v>
      </c>
      <c r="HB10" s="10">
        <v>2.5648000000000001E-2</v>
      </c>
      <c r="HC10" s="10">
        <v>618.07470000000001</v>
      </c>
      <c r="HD10" s="10">
        <v>3559.1792</v>
      </c>
      <c r="HE10" s="10">
        <v>5.3987999999999996</v>
      </c>
      <c r="HF10" s="10">
        <v>61.603499999999997</v>
      </c>
      <c r="HG10" s="10">
        <v>7.6943999999999999E-2</v>
      </c>
      <c r="HH10" s="10">
        <v>56.973999999999997</v>
      </c>
      <c r="HI10" s="10">
        <v>19.181100000000001</v>
      </c>
      <c r="HJ10" s="11"/>
      <c r="HK10" s="11"/>
      <c r="HL10" s="10">
        <v>3.4624999999999999</v>
      </c>
      <c r="HM10" s="10">
        <v>3.4982000000000002</v>
      </c>
      <c r="HN10" s="10">
        <v>6.0408999999999997</v>
      </c>
      <c r="HO10" s="10">
        <f t="shared" si="0"/>
        <v>11442.71185</v>
      </c>
      <c r="HP10" s="10">
        <f t="shared" si="1"/>
        <v>11.44271185</v>
      </c>
      <c r="HQ10" s="10">
        <f t="shared" si="2"/>
        <v>3.1204559176438509</v>
      </c>
      <c r="HR10" s="11"/>
      <c r="HS10" s="11"/>
      <c r="HT10" s="11"/>
      <c r="HU10" s="11"/>
      <c r="HV10" s="11"/>
      <c r="HW10" s="11"/>
    </row>
    <row r="11" spans="1:231" ht="19.95" customHeight="1">
      <c r="A11" s="8">
        <v>1967</v>
      </c>
      <c r="B11" s="9">
        <v>1.2819</v>
      </c>
      <c r="C11" s="10">
        <v>2.6783999999999999</v>
      </c>
      <c r="D11" s="10">
        <v>8.4315999999999995</v>
      </c>
      <c r="E11" s="11"/>
      <c r="F11" s="10">
        <v>0.99180999999999997</v>
      </c>
      <c r="G11" s="11"/>
      <c r="H11" s="10">
        <v>0.56425999999999998</v>
      </c>
      <c r="I11" s="10">
        <v>65.475999999999999</v>
      </c>
      <c r="J11" s="10">
        <v>10.548</v>
      </c>
      <c r="K11" s="10">
        <v>0.68235999999999997</v>
      </c>
      <c r="L11" s="10">
        <v>129.14420000000001</v>
      </c>
      <c r="M11" s="10">
        <v>39.915599999999998</v>
      </c>
      <c r="N11" s="10">
        <v>30.213200000000001</v>
      </c>
      <c r="O11" s="10">
        <v>1.7010000000000001</v>
      </c>
      <c r="P11" s="10">
        <v>1.0039</v>
      </c>
      <c r="Q11" s="10">
        <v>3.3711000000000002</v>
      </c>
      <c r="R11" s="10">
        <v>0.33709</v>
      </c>
      <c r="S11" s="10">
        <v>66.072000000000003</v>
      </c>
      <c r="T11" s="10">
        <v>107.361</v>
      </c>
      <c r="U11" s="10">
        <v>0.12091</v>
      </c>
      <c r="V11" s="10">
        <v>0.1429</v>
      </c>
      <c r="W11" s="10">
        <v>0.21251</v>
      </c>
      <c r="X11" s="11"/>
      <c r="Y11" s="10">
        <v>1.8904000000000001</v>
      </c>
      <c r="Z11" s="10">
        <v>0.51919000000000004</v>
      </c>
      <c r="AA11" s="10">
        <v>7.3468</v>
      </c>
      <c r="AB11" s="11"/>
      <c r="AC11" s="10">
        <v>66.079400000000007</v>
      </c>
      <c r="AD11" s="10">
        <v>3.6640000000000002E-3</v>
      </c>
      <c r="AE11" s="10">
        <v>0.43968000000000002</v>
      </c>
      <c r="AF11" s="10">
        <v>55.107700000000001</v>
      </c>
      <c r="AG11" s="10">
        <v>0.10259</v>
      </c>
      <c r="AH11" s="10">
        <v>4.7632000000000001E-2</v>
      </c>
      <c r="AI11" s="10">
        <v>0.41746</v>
      </c>
      <c r="AJ11" s="10">
        <v>0.45800000000000002</v>
      </c>
      <c r="AK11" s="10">
        <v>281.637</v>
      </c>
      <c r="AL11" s="10">
        <v>1.8319999999999999E-2</v>
      </c>
      <c r="AM11" s="11"/>
      <c r="AN11" s="10">
        <v>9.1600000000000001E-2</v>
      </c>
      <c r="AO11" s="10">
        <v>0.11724999999999999</v>
      </c>
      <c r="AP11" s="10">
        <v>19.238299999999999</v>
      </c>
      <c r="AQ11" s="10">
        <v>432.22359999999998</v>
      </c>
      <c r="AR11" s="10">
        <v>24.686800000000002</v>
      </c>
      <c r="AS11" s="10">
        <v>1.8319999999999999E-2</v>
      </c>
      <c r="AT11" s="10">
        <v>0.32242999999999999</v>
      </c>
      <c r="AU11" s="11"/>
      <c r="AV11" s="10">
        <v>0.87524999999999997</v>
      </c>
      <c r="AW11" s="10">
        <v>1.3593</v>
      </c>
      <c r="AX11" s="10">
        <v>7.9470999999999998</v>
      </c>
      <c r="AY11" s="10">
        <v>15.7369</v>
      </c>
      <c r="AZ11" s="10">
        <v>9.8646999999999991</v>
      </c>
      <c r="BA11" s="10">
        <v>1.3623000000000001</v>
      </c>
      <c r="BB11" s="10">
        <v>121.3051</v>
      </c>
      <c r="BC11" s="10">
        <v>2.2888000000000002</v>
      </c>
      <c r="BD11" s="10">
        <v>49.026400000000002</v>
      </c>
      <c r="BE11" s="10">
        <v>8.7936E-2</v>
      </c>
      <c r="BF11" s="10">
        <v>2.1984E-2</v>
      </c>
      <c r="BG11" s="10">
        <v>1.5669</v>
      </c>
      <c r="BH11" s="10">
        <v>2.5889000000000002</v>
      </c>
      <c r="BI11" s="10">
        <v>19.649899999999999</v>
      </c>
      <c r="BJ11" s="10">
        <v>1.1573</v>
      </c>
      <c r="BK11" s="10">
        <v>2.5648000000000001E-2</v>
      </c>
      <c r="BL11" s="11"/>
      <c r="BM11" s="10">
        <v>18.9575</v>
      </c>
      <c r="BN11" s="10">
        <v>1.073</v>
      </c>
      <c r="BO11" s="10">
        <v>0.16854</v>
      </c>
      <c r="BP11" s="11"/>
      <c r="BQ11" s="10">
        <v>0.35522999999999999</v>
      </c>
      <c r="BR11" s="10">
        <v>28.587700000000002</v>
      </c>
      <c r="BS11" s="10">
        <v>372.4753</v>
      </c>
      <c r="BT11" s="11"/>
      <c r="BU11" s="10">
        <v>0.13922999999999999</v>
      </c>
      <c r="BV11" s="10">
        <v>1.0113000000000001</v>
      </c>
      <c r="BW11" s="10">
        <v>3.2975999999999998E-2</v>
      </c>
      <c r="BX11" s="10">
        <v>16.083100000000002</v>
      </c>
      <c r="BY11" s="10">
        <v>936.22940000000006</v>
      </c>
      <c r="BZ11" s="10">
        <v>1.4948999999999999</v>
      </c>
      <c r="CA11" s="11"/>
      <c r="CB11" s="10">
        <v>19.504200000000001</v>
      </c>
      <c r="CC11" s="10">
        <v>0.41770000000000002</v>
      </c>
      <c r="CD11" s="10">
        <v>3.6639999999999999E-2</v>
      </c>
      <c r="CE11" s="11"/>
      <c r="CF11" s="10">
        <v>1.9813000000000001</v>
      </c>
      <c r="CG11" s="10">
        <v>0.72546999999999995</v>
      </c>
      <c r="CH11" s="10">
        <v>4.7632000000000001E-2</v>
      </c>
      <c r="CI11" s="10">
        <v>1.3227</v>
      </c>
      <c r="CJ11" s="10">
        <v>0.26</v>
      </c>
      <c r="CK11" s="10">
        <v>0.87524999999999997</v>
      </c>
      <c r="CL11" s="10">
        <v>6.0521000000000003</v>
      </c>
      <c r="CM11" s="10">
        <v>58.770800000000001</v>
      </c>
      <c r="CN11" s="10">
        <v>1.4431</v>
      </c>
      <c r="CO11" s="10">
        <v>159.77930000000001</v>
      </c>
      <c r="CP11" s="10">
        <v>24.54</v>
      </c>
      <c r="CQ11" s="10">
        <v>67.880899999999997</v>
      </c>
      <c r="CR11" s="10">
        <v>18.373000000000001</v>
      </c>
      <c r="CS11" s="10">
        <v>16.3948</v>
      </c>
      <c r="CT11" s="10">
        <v>13.527900000000001</v>
      </c>
      <c r="CU11" s="10">
        <v>234.12970000000001</v>
      </c>
      <c r="CV11" s="10">
        <v>3.8641999999999999</v>
      </c>
      <c r="CW11" s="10">
        <v>489.30739999999997</v>
      </c>
      <c r="CX11" s="10">
        <v>1.413</v>
      </c>
      <c r="CY11" s="10">
        <v>132.8732</v>
      </c>
      <c r="CZ11" s="10">
        <v>2.6983999999999999</v>
      </c>
      <c r="DA11" s="10">
        <v>2.1984E-2</v>
      </c>
      <c r="DB11" s="11"/>
      <c r="DC11" s="10">
        <v>25.4208</v>
      </c>
      <c r="DD11" s="10">
        <v>12.2464</v>
      </c>
      <c r="DE11" s="10">
        <v>0.31877</v>
      </c>
      <c r="DF11" s="10">
        <v>9.7383000000000006</v>
      </c>
      <c r="DG11" s="10">
        <v>3.5646</v>
      </c>
      <c r="DH11" s="11"/>
      <c r="DI11" s="10">
        <v>0.61189000000000004</v>
      </c>
      <c r="DJ11" s="10">
        <v>18.4922</v>
      </c>
      <c r="DK11" s="11"/>
      <c r="DL11" s="10">
        <v>18.197199999999999</v>
      </c>
      <c r="DM11" s="10">
        <v>11.350300000000001</v>
      </c>
      <c r="DN11" s="10">
        <v>0.16488</v>
      </c>
      <c r="DO11" s="10">
        <v>0.84248000000000001</v>
      </c>
      <c r="DP11" s="10">
        <v>0.36621999999999999</v>
      </c>
      <c r="DQ11" s="10">
        <v>10.127599999999999</v>
      </c>
      <c r="DR11" s="11"/>
      <c r="DS11" s="10">
        <v>0.2235</v>
      </c>
      <c r="DT11" s="10">
        <v>0.52029000000000003</v>
      </c>
      <c r="DU11" s="11"/>
      <c r="DV11" s="11"/>
      <c r="DW11" s="10">
        <v>0.19786000000000001</v>
      </c>
      <c r="DX11" s="10">
        <v>0.49830000000000002</v>
      </c>
      <c r="DY11" s="10">
        <v>90.005499999999998</v>
      </c>
      <c r="DZ11" s="11"/>
      <c r="EA11" s="10">
        <v>15.8245</v>
      </c>
      <c r="EB11" s="10">
        <v>2.1251000000000002</v>
      </c>
      <c r="EC11" s="10">
        <v>0.72497</v>
      </c>
      <c r="ED11" s="10">
        <v>7.3280000000000003E-3</v>
      </c>
      <c r="EE11" s="10">
        <v>5.4082999999999997</v>
      </c>
      <c r="EF11" s="10">
        <v>1.8713</v>
      </c>
      <c r="EG11" s="10">
        <v>3.6158000000000001</v>
      </c>
      <c r="EH11" s="11"/>
      <c r="EI11" s="10">
        <v>4.7632000000000001E-2</v>
      </c>
      <c r="EJ11" s="10">
        <v>0.21251</v>
      </c>
      <c r="EK11" s="10">
        <v>106.68219999999999</v>
      </c>
      <c r="EL11" s="10">
        <v>1.4729000000000001</v>
      </c>
      <c r="EM11" s="10">
        <v>13.626799999999999</v>
      </c>
      <c r="EN11" s="10">
        <v>1.0805</v>
      </c>
      <c r="EO11" s="10">
        <v>0.13181000000000001</v>
      </c>
      <c r="EP11" s="10">
        <v>12.8245</v>
      </c>
      <c r="EQ11" s="11"/>
      <c r="ER11" s="10">
        <v>52.392000000000003</v>
      </c>
      <c r="ES11" s="10">
        <v>5.3689</v>
      </c>
      <c r="ET11" s="10">
        <v>19.304200000000002</v>
      </c>
      <c r="EU11" s="11"/>
      <c r="EV11" s="10">
        <v>0.13557</v>
      </c>
      <c r="EW11" s="10">
        <v>18.175899999999999</v>
      </c>
      <c r="EX11" s="11"/>
      <c r="EY11" s="10">
        <v>1.6957</v>
      </c>
      <c r="EZ11" s="10">
        <v>0.43602000000000002</v>
      </c>
      <c r="FA11" s="10">
        <v>0.48725000000000002</v>
      </c>
      <c r="FB11" s="10">
        <v>13.6403</v>
      </c>
      <c r="FC11" s="10">
        <v>18.2089</v>
      </c>
      <c r="FD11" s="10">
        <v>259.02550000000002</v>
      </c>
      <c r="FE11" s="10">
        <v>12.3916</v>
      </c>
      <c r="FF11" s="10">
        <v>6.6830999999999996</v>
      </c>
      <c r="FG11" s="10">
        <v>0.26515</v>
      </c>
      <c r="FH11" s="11"/>
      <c r="FI11" s="10">
        <v>92.028800000000004</v>
      </c>
      <c r="FJ11" s="10">
        <v>1280.8960999999999</v>
      </c>
      <c r="FK11" s="10">
        <v>4.0304E-2</v>
      </c>
      <c r="FL11" s="11"/>
      <c r="FM11" s="11"/>
      <c r="FN11" s="10">
        <v>3.2975999999999998E-2</v>
      </c>
      <c r="FO11" s="10">
        <v>5.1296000000000001E-2</v>
      </c>
      <c r="FP11" s="10">
        <v>1.8319999999999999E-2</v>
      </c>
      <c r="FQ11" s="10">
        <v>2.5648000000000001E-2</v>
      </c>
      <c r="FR11" s="10">
        <v>1.0992E-2</v>
      </c>
      <c r="FS11" s="10">
        <v>25.485499999999998</v>
      </c>
      <c r="FT11" s="10">
        <v>0.69913999999999998</v>
      </c>
      <c r="FU11" s="10">
        <v>21.366900000000001</v>
      </c>
      <c r="FV11" s="10">
        <v>7.3280000000000003E-3</v>
      </c>
      <c r="FW11" s="10">
        <v>0.25281999999999999</v>
      </c>
      <c r="FX11" s="10">
        <v>3.0539000000000001</v>
      </c>
      <c r="FY11" s="10">
        <v>38.739100000000001</v>
      </c>
      <c r="FZ11" s="10">
        <v>6.0631000000000004</v>
      </c>
      <c r="GA11" s="10">
        <v>3.2975999999999998E-2</v>
      </c>
      <c r="GB11" s="10">
        <v>0.22717000000000001</v>
      </c>
      <c r="GC11" s="10">
        <v>133.76009999999999</v>
      </c>
      <c r="GD11" s="10">
        <v>35.113199999999999</v>
      </c>
      <c r="GE11" s="10">
        <v>86.394000000000005</v>
      </c>
      <c r="GF11" s="10">
        <v>2.9451000000000001</v>
      </c>
      <c r="GG11" s="10">
        <v>2.9184999999999999</v>
      </c>
      <c r="GH11" s="10">
        <v>1.3337000000000001</v>
      </c>
      <c r="GI11" s="10">
        <v>0.22717000000000001</v>
      </c>
      <c r="GJ11" s="10">
        <v>68.929699999999997</v>
      </c>
      <c r="GK11" s="10">
        <v>32.519399999999997</v>
      </c>
      <c r="GL11" s="10">
        <v>4.6032000000000002</v>
      </c>
      <c r="GM11" s="10">
        <v>21.969899999999999</v>
      </c>
      <c r="GN11" s="10">
        <v>5.8833000000000002</v>
      </c>
      <c r="GO11" s="10">
        <v>1.7581</v>
      </c>
      <c r="GP11" s="10">
        <v>12.1501</v>
      </c>
      <c r="GQ11" s="11"/>
      <c r="GR11" s="10">
        <v>0.19786000000000001</v>
      </c>
      <c r="GS11" s="10">
        <v>1.4656000000000001E-2</v>
      </c>
      <c r="GT11" s="10">
        <v>4.6341999999999999</v>
      </c>
      <c r="GU11" s="10">
        <v>3.0832000000000002</v>
      </c>
      <c r="GV11" s="10">
        <v>33.479100000000003</v>
      </c>
      <c r="GW11" s="10">
        <v>23.9727</v>
      </c>
      <c r="GX11" s="11"/>
      <c r="GY11" s="11"/>
      <c r="GZ11" s="10">
        <v>0.80918000000000001</v>
      </c>
      <c r="HA11" s="10">
        <v>386.83429999999998</v>
      </c>
      <c r="HB11" s="10">
        <v>0.91600000000000004</v>
      </c>
      <c r="HC11" s="10">
        <v>592.05700000000002</v>
      </c>
      <c r="HD11" s="10">
        <v>3693.2982000000002</v>
      </c>
      <c r="HE11" s="10">
        <v>4.8788</v>
      </c>
      <c r="HF11" s="10">
        <v>64.415999999999997</v>
      </c>
      <c r="HG11" s="10">
        <v>8.4272E-2</v>
      </c>
      <c r="HH11" s="10">
        <v>65.752399999999994</v>
      </c>
      <c r="HI11" s="10">
        <v>22.962199999999999</v>
      </c>
      <c r="HJ11" s="11"/>
      <c r="HK11" s="11"/>
      <c r="HL11" s="10">
        <v>3.0520999999999998</v>
      </c>
      <c r="HM11" s="10">
        <v>4.7876000000000003</v>
      </c>
      <c r="HN11" s="10">
        <v>5.2945000000000002</v>
      </c>
      <c r="HO11" s="10">
        <f t="shared" si="0"/>
        <v>11795.544583999999</v>
      </c>
      <c r="HP11" s="10">
        <f t="shared" si="1"/>
        <v>11.795544584</v>
      </c>
      <c r="HQ11" s="10">
        <f t="shared" si="2"/>
        <v>3.2166742797927461</v>
      </c>
      <c r="HR11" s="11"/>
      <c r="HS11" s="11"/>
      <c r="HT11" s="11"/>
      <c r="HU11" s="11"/>
      <c r="HV11" s="11"/>
      <c r="HW11" s="11"/>
    </row>
    <row r="12" spans="1:231" ht="19.95" customHeight="1">
      <c r="A12" s="8">
        <v>1968</v>
      </c>
      <c r="B12" s="9">
        <v>1.2234</v>
      </c>
      <c r="C12" s="10">
        <v>3.0703999999999998</v>
      </c>
      <c r="D12" s="10">
        <v>9.0502000000000002</v>
      </c>
      <c r="E12" s="11"/>
      <c r="F12" s="10">
        <v>1.6695</v>
      </c>
      <c r="G12" s="11"/>
      <c r="H12" s="10">
        <v>0.98928000000000005</v>
      </c>
      <c r="I12" s="10">
        <v>69.009200000000007</v>
      </c>
      <c r="J12" s="10">
        <v>10.8443</v>
      </c>
      <c r="K12" s="10">
        <v>0.63451000000000002</v>
      </c>
      <c r="L12" s="10">
        <v>134.49690000000001</v>
      </c>
      <c r="M12" s="10">
        <v>42.2971</v>
      </c>
      <c r="N12" s="10">
        <v>31.061499999999999</v>
      </c>
      <c r="O12" s="10">
        <v>1.6276999999999999</v>
      </c>
      <c r="P12" s="10">
        <v>1.1029</v>
      </c>
      <c r="Q12" s="10">
        <v>3.8656999999999999</v>
      </c>
      <c r="R12" s="10">
        <v>0.43968000000000002</v>
      </c>
      <c r="S12" s="10">
        <v>67.927999999999997</v>
      </c>
      <c r="T12" s="10">
        <v>118.4376</v>
      </c>
      <c r="U12" s="10">
        <v>0.10259</v>
      </c>
      <c r="V12" s="10">
        <v>0.15389</v>
      </c>
      <c r="W12" s="10">
        <v>0.2235</v>
      </c>
      <c r="X12" s="11"/>
      <c r="Y12" s="10">
        <v>2.1760999999999999</v>
      </c>
      <c r="Z12" s="10">
        <v>0.48279</v>
      </c>
      <c r="AA12" s="10">
        <v>7.8578000000000001</v>
      </c>
      <c r="AB12" s="11"/>
      <c r="AC12" s="10">
        <v>77.2714</v>
      </c>
      <c r="AD12" s="10">
        <v>1.4656000000000001E-2</v>
      </c>
      <c r="AE12" s="10">
        <v>0.42869000000000002</v>
      </c>
      <c r="AF12" s="10">
        <v>59.463500000000003</v>
      </c>
      <c r="AG12" s="10">
        <v>0.10259</v>
      </c>
      <c r="AH12" s="10">
        <v>5.4960000000000002E-2</v>
      </c>
      <c r="AI12" s="10">
        <v>0.49074000000000001</v>
      </c>
      <c r="AJ12" s="10">
        <v>0.50563000000000002</v>
      </c>
      <c r="AK12" s="10">
        <v>303.26130000000001</v>
      </c>
      <c r="AL12" s="10">
        <v>2.9281999999999999E-2</v>
      </c>
      <c r="AM12" s="11"/>
      <c r="AN12" s="10">
        <v>0.1832</v>
      </c>
      <c r="AO12" s="10">
        <v>0.12458</v>
      </c>
      <c r="AP12" s="10">
        <v>21.202200000000001</v>
      </c>
      <c r="AQ12" s="10">
        <v>467.80560000000003</v>
      </c>
      <c r="AR12" s="10">
        <v>26.572800000000001</v>
      </c>
      <c r="AS12" s="10">
        <v>1.8319999999999999E-2</v>
      </c>
      <c r="AT12" s="10">
        <v>0.45067000000000002</v>
      </c>
      <c r="AU12" s="11"/>
      <c r="AV12" s="10">
        <v>1.0364</v>
      </c>
      <c r="AW12" s="10">
        <v>1.5974999999999999</v>
      </c>
      <c r="AX12" s="10">
        <v>8.5009999999999994</v>
      </c>
      <c r="AY12" s="10">
        <v>16.019500000000001</v>
      </c>
      <c r="AZ12" s="10">
        <v>9.1729000000000003</v>
      </c>
      <c r="BA12" s="10">
        <v>1.6222000000000001</v>
      </c>
      <c r="BB12" s="10">
        <v>126.91500000000001</v>
      </c>
      <c r="BC12" s="10">
        <v>3.3660000000000001</v>
      </c>
      <c r="BD12" s="10">
        <v>53.2727</v>
      </c>
      <c r="BE12" s="10">
        <v>0.12091</v>
      </c>
      <c r="BF12" s="10">
        <v>2.1984E-2</v>
      </c>
      <c r="BG12" s="10">
        <v>2.3473000000000002</v>
      </c>
      <c r="BH12" s="10">
        <v>3.1126</v>
      </c>
      <c r="BI12" s="10">
        <v>22.872599999999998</v>
      </c>
      <c r="BJ12" s="10">
        <v>1.2598</v>
      </c>
      <c r="BK12" s="10">
        <v>2.9312000000000001E-2</v>
      </c>
      <c r="BL12" s="11"/>
      <c r="BM12" s="10">
        <v>19.4757</v>
      </c>
      <c r="BN12" s="10">
        <v>1.7250000000000001</v>
      </c>
      <c r="BO12" s="10">
        <v>0.1832</v>
      </c>
      <c r="BP12" s="11"/>
      <c r="BQ12" s="10">
        <v>0.39550000000000002</v>
      </c>
      <c r="BR12" s="10">
        <v>33.281500000000001</v>
      </c>
      <c r="BS12" s="10">
        <v>385.101</v>
      </c>
      <c r="BT12" s="11"/>
      <c r="BU12" s="10">
        <v>0.15389</v>
      </c>
      <c r="BV12" s="10">
        <v>1.9601999999999999</v>
      </c>
      <c r="BW12" s="10">
        <v>3.6639999999999999E-2</v>
      </c>
      <c r="BX12" s="10">
        <v>16.535</v>
      </c>
      <c r="BY12" s="10">
        <v>984.79079999999999</v>
      </c>
      <c r="BZ12" s="10">
        <v>1.7615000000000001</v>
      </c>
      <c r="CA12" s="11"/>
      <c r="CB12" s="10">
        <v>22.286300000000001</v>
      </c>
      <c r="CC12" s="10">
        <v>0.54227000000000003</v>
      </c>
      <c r="CD12" s="10">
        <v>4.0304E-2</v>
      </c>
      <c r="CE12" s="11"/>
      <c r="CF12" s="10">
        <v>2.1391</v>
      </c>
      <c r="CG12" s="10">
        <v>0.74746000000000001</v>
      </c>
      <c r="CH12" s="10">
        <v>6.2288000000000003E-2</v>
      </c>
      <c r="CI12" s="10">
        <v>1.33</v>
      </c>
      <c r="CJ12" s="10">
        <v>0.26362999999999998</v>
      </c>
      <c r="CK12" s="10">
        <v>1.2232000000000001</v>
      </c>
      <c r="CL12" s="10">
        <v>6.1980000000000004</v>
      </c>
      <c r="CM12" s="10">
        <v>61.093200000000003</v>
      </c>
      <c r="CN12" s="10">
        <v>1.5933999999999999</v>
      </c>
      <c r="CO12" s="10">
        <v>174.30170000000001</v>
      </c>
      <c r="CP12" s="10">
        <v>27.5626</v>
      </c>
      <c r="CQ12" s="10">
        <v>82.329599999999999</v>
      </c>
      <c r="CR12" s="10">
        <v>19.695699999999999</v>
      </c>
      <c r="CS12" s="10">
        <v>17.801600000000001</v>
      </c>
      <c r="CT12" s="10">
        <v>13.7942</v>
      </c>
      <c r="CU12" s="10">
        <v>249.1722</v>
      </c>
      <c r="CV12" s="10">
        <v>3.8784999999999998</v>
      </c>
      <c r="CW12" s="10">
        <v>561.9126</v>
      </c>
      <c r="CX12" s="10">
        <v>1.504</v>
      </c>
      <c r="CY12" s="10">
        <v>136.60810000000001</v>
      </c>
      <c r="CZ12" s="10">
        <v>2.8153999999999999</v>
      </c>
      <c r="DA12" s="10">
        <v>3.2975999999999998E-2</v>
      </c>
      <c r="DB12" s="11"/>
      <c r="DC12" s="10">
        <v>22.4237</v>
      </c>
      <c r="DD12" s="10">
        <v>12.5908</v>
      </c>
      <c r="DE12" s="10">
        <v>0.16854</v>
      </c>
      <c r="DF12" s="10">
        <v>10.012</v>
      </c>
      <c r="DG12" s="10">
        <v>3.6932999999999998</v>
      </c>
      <c r="DH12" s="11"/>
      <c r="DI12" s="10">
        <v>0.88282000000000005</v>
      </c>
      <c r="DJ12" s="10">
        <v>30.1144</v>
      </c>
      <c r="DK12" s="11"/>
      <c r="DL12" s="10">
        <v>18.707899999999999</v>
      </c>
      <c r="DM12" s="10">
        <v>12.259</v>
      </c>
      <c r="DN12" s="10">
        <v>0.16854</v>
      </c>
      <c r="DO12" s="10">
        <v>0.91207000000000005</v>
      </c>
      <c r="DP12" s="10">
        <v>0.38815</v>
      </c>
      <c r="DQ12" s="10">
        <v>10.530200000000001</v>
      </c>
      <c r="DR12" s="11"/>
      <c r="DS12" s="10">
        <v>0.19786000000000001</v>
      </c>
      <c r="DT12" s="10">
        <v>0.63754</v>
      </c>
      <c r="DU12" s="11"/>
      <c r="DV12" s="11"/>
      <c r="DW12" s="10">
        <v>0.23449999999999999</v>
      </c>
      <c r="DX12" s="10">
        <v>0.63754</v>
      </c>
      <c r="DY12" s="10">
        <v>93.887200000000007</v>
      </c>
      <c r="DZ12" s="11"/>
      <c r="EA12" s="10">
        <v>16.269200000000001</v>
      </c>
      <c r="EB12" s="10">
        <v>2.4802</v>
      </c>
      <c r="EC12" s="10">
        <v>0.77537999999999996</v>
      </c>
      <c r="ED12" s="10">
        <v>7.3280000000000003E-3</v>
      </c>
      <c r="EE12" s="10">
        <v>5.6201999999999996</v>
      </c>
      <c r="EF12" s="10">
        <v>2.7761999999999998</v>
      </c>
      <c r="EG12" s="10">
        <v>2.9268000000000001</v>
      </c>
      <c r="EH12" s="11"/>
      <c r="EI12" s="10">
        <v>4.7632000000000001E-2</v>
      </c>
      <c r="EJ12" s="10">
        <v>0.25281999999999999</v>
      </c>
      <c r="EK12" s="10">
        <v>113.4455</v>
      </c>
      <c r="EL12" s="10">
        <v>1.8392999999999999</v>
      </c>
      <c r="EM12" s="10">
        <v>13.473100000000001</v>
      </c>
      <c r="EN12" s="10">
        <v>1.2306999999999999</v>
      </c>
      <c r="EO12" s="10">
        <v>0.16113</v>
      </c>
      <c r="EP12" s="10">
        <v>6.6258999999999997</v>
      </c>
      <c r="EQ12" s="11"/>
      <c r="ER12" s="10">
        <v>59.268999999999998</v>
      </c>
      <c r="ES12" s="10">
        <v>5.7423000000000002</v>
      </c>
      <c r="ET12" s="10">
        <v>21.113700000000001</v>
      </c>
      <c r="EU12" s="11"/>
      <c r="EV12" s="10">
        <v>0.16122</v>
      </c>
      <c r="EW12" s="10">
        <v>20.841799999999999</v>
      </c>
      <c r="EX12" s="11"/>
      <c r="EY12" s="10">
        <v>2.0182000000000002</v>
      </c>
      <c r="EZ12" s="10">
        <v>0.50197000000000003</v>
      </c>
      <c r="FA12" s="10">
        <v>0.58980999999999995</v>
      </c>
      <c r="FB12" s="10">
        <v>14.486599999999999</v>
      </c>
      <c r="FC12" s="10">
        <v>22.222799999999999</v>
      </c>
      <c r="FD12" s="10">
        <v>275.80099999999999</v>
      </c>
      <c r="FE12" s="10">
        <v>12.9924</v>
      </c>
      <c r="FF12" s="10">
        <v>7.0751999999999997</v>
      </c>
      <c r="FG12" s="10">
        <v>0.25844</v>
      </c>
      <c r="FH12" s="11"/>
      <c r="FI12" s="10">
        <v>100.07940000000001</v>
      </c>
      <c r="FJ12" s="10">
        <v>1316.8933999999999</v>
      </c>
      <c r="FK12" s="10">
        <v>5.4960000000000002E-2</v>
      </c>
      <c r="FL12" s="10">
        <v>3.6640000000000002E-3</v>
      </c>
      <c r="FM12" s="11"/>
      <c r="FN12" s="10">
        <v>3.6639999999999999E-2</v>
      </c>
      <c r="FO12" s="10">
        <v>4.0304E-2</v>
      </c>
      <c r="FP12" s="10">
        <v>2.1984E-2</v>
      </c>
      <c r="FQ12" s="10">
        <v>2.9312000000000001E-2</v>
      </c>
      <c r="FR12" s="10">
        <v>1.4656000000000001E-2</v>
      </c>
      <c r="FS12" s="10">
        <v>29.0791</v>
      </c>
      <c r="FT12" s="11"/>
      <c r="FU12" s="10">
        <v>22.855899999999998</v>
      </c>
      <c r="FV12" s="10">
        <v>7.3280000000000003E-3</v>
      </c>
      <c r="FW12" s="10">
        <v>0.36274000000000001</v>
      </c>
      <c r="FX12" s="10">
        <v>5.4131</v>
      </c>
      <c r="FY12" s="10">
        <v>40.5304</v>
      </c>
      <c r="FZ12" s="10">
        <v>6.4840999999999998</v>
      </c>
      <c r="GA12" s="10">
        <v>3.6639999999999999E-2</v>
      </c>
      <c r="GB12" s="10">
        <v>0.15389</v>
      </c>
      <c r="GC12" s="10">
        <v>137.9538</v>
      </c>
      <c r="GD12" s="10">
        <v>37.197099999999999</v>
      </c>
      <c r="GE12" s="10">
        <v>97.017200000000003</v>
      </c>
      <c r="GF12" s="10">
        <v>3.2381000000000002</v>
      </c>
      <c r="GG12" s="10">
        <v>2.8445</v>
      </c>
      <c r="GH12" s="10">
        <v>1.4509000000000001</v>
      </c>
      <c r="GI12" s="10">
        <v>0.27845999999999999</v>
      </c>
      <c r="GJ12" s="10">
        <v>77.605999999999995</v>
      </c>
      <c r="GK12" s="10">
        <v>35.981299999999997</v>
      </c>
      <c r="GL12" s="10">
        <v>5.9539</v>
      </c>
      <c r="GM12" s="10">
        <v>24.140599999999999</v>
      </c>
      <c r="GN12" s="10">
        <v>6.0486000000000004</v>
      </c>
      <c r="GO12" s="10">
        <v>1.6517999999999999</v>
      </c>
      <c r="GP12" s="10">
        <v>17.075700000000001</v>
      </c>
      <c r="GQ12" s="11"/>
      <c r="GR12" s="10">
        <v>0.19419</v>
      </c>
      <c r="GS12" s="10">
        <v>1.4656000000000001E-2</v>
      </c>
      <c r="GT12" s="10">
        <v>4.0369000000000002</v>
      </c>
      <c r="GU12" s="10">
        <v>3.5922999999999998</v>
      </c>
      <c r="GV12" s="10">
        <v>36.265500000000003</v>
      </c>
      <c r="GW12" s="10">
        <v>24.645600000000002</v>
      </c>
      <c r="GX12" s="11"/>
      <c r="GY12" s="11"/>
      <c r="GZ12" s="10">
        <v>0.98133000000000004</v>
      </c>
      <c r="HA12" s="10">
        <v>397.71080000000001</v>
      </c>
      <c r="HB12" s="10">
        <v>1.2421</v>
      </c>
      <c r="HC12" s="10">
        <v>606.48829999999998</v>
      </c>
      <c r="HD12" s="10">
        <v>3828.3060999999998</v>
      </c>
      <c r="HE12" s="10">
        <v>4.8784000000000001</v>
      </c>
      <c r="HF12" s="10">
        <v>66.225300000000004</v>
      </c>
      <c r="HG12" s="10">
        <v>6.2288000000000003E-2</v>
      </c>
      <c r="HH12" s="10">
        <v>65.572100000000006</v>
      </c>
      <c r="HI12" s="10">
        <v>23.600899999999999</v>
      </c>
      <c r="HJ12" s="11"/>
      <c r="HK12" s="11"/>
      <c r="HL12" s="10">
        <v>11.636900000000001</v>
      </c>
      <c r="HM12" s="10">
        <v>4.5675999999999997</v>
      </c>
      <c r="HN12" s="10">
        <v>6.3776999999999999</v>
      </c>
      <c r="HO12" s="10">
        <f t="shared" si="0"/>
        <v>12438.706953999996</v>
      </c>
      <c r="HP12" s="10">
        <f t="shared" si="1"/>
        <v>12.438706953999995</v>
      </c>
      <c r="HQ12" s="10">
        <f t="shared" si="2"/>
        <v>3.3920662541587117</v>
      </c>
      <c r="HR12" s="11"/>
      <c r="HS12" s="11"/>
      <c r="HT12" s="11"/>
      <c r="HU12" s="11"/>
      <c r="HV12" s="11"/>
      <c r="HW12" s="11"/>
    </row>
    <row r="13" spans="1:231" ht="19.95" customHeight="1">
      <c r="A13" s="8">
        <v>1969</v>
      </c>
      <c r="B13" s="9">
        <v>0.94123000000000001</v>
      </c>
      <c r="C13" s="10">
        <v>3.2425999999999999</v>
      </c>
      <c r="D13" s="10">
        <v>11.263</v>
      </c>
      <c r="E13" s="11"/>
      <c r="F13" s="10">
        <v>2.7831000000000001</v>
      </c>
      <c r="G13" s="11"/>
      <c r="H13" s="10">
        <v>1.2567999999999999</v>
      </c>
      <c r="I13" s="10">
        <v>77.248900000000006</v>
      </c>
      <c r="J13" s="10">
        <v>11.2936</v>
      </c>
      <c r="K13" s="10">
        <v>0.83040999999999998</v>
      </c>
      <c r="L13" s="10">
        <v>142.12379999999999</v>
      </c>
      <c r="M13" s="10">
        <v>44.638399999999997</v>
      </c>
      <c r="N13" s="10">
        <v>32.347999999999999</v>
      </c>
      <c r="O13" s="10">
        <v>1.7407999999999999</v>
      </c>
      <c r="P13" s="10">
        <v>1.2714000000000001</v>
      </c>
      <c r="Q13" s="10">
        <v>3.7492999999999999</v>
      </c>
      <c r="R13" s="10">
        <v>0.47998000000000002</v>
      </c>
      <c r="S13" s="10">
        <v>70.741799999999998</v>
      </c>
      <c r="T13" s="10">
        <v>123.4918</v>
      </c>
      <c r="U13" s="10">
        <v>0.13557</v>
      </c>
      <c r="V13" s="10">
        <v>0.20152</v>
      </c>
      <c r="W13" s="10">
        <v>0.19786000000000001</v>
      </c>
      <c r="X13" s="11"/>
      <c r="Y13" s="10">
        <v>2.5461999999999998</v>
      </c>
      <c r="Z13" s="10">
        <v>0.63183999999999996</v>
      </c>
      <c r="AA13" s="10">
        <v>8.1471999999999998</v>
      </c>
      <c r="AB13" s="11"/>
      <c r="AC13" s="10">
        <v>84.1327</v>
      </c>
      <c r="AD13" s="10">
        <v>1.8319999999999999E-2</v>
      </c>
      <c r="AE13" s="10">
        <v>0.48731000000000002</v>
      </c>
      <c r="AF13" s="10">
        <v>66.307699999999997</v>
      </c>
      <c r="AG13" s="10">
        <v>0.12091</v>
      </c>
      <c r="AH13" s="10">
        <v>7.3279999999999998E-2</v>
      </c>
      <c r="AI13" s="10">
        <v>1.3444</v>
      </c>
      <c r="AJ13" s="10">
        <v>0.57157999999999998</v>
      </c>
      <c r="AK13" s="10">
        <v>307.11919999999998</v>
      </c>
      <c r="AL13" s="10">
        <v>3.6581000000000002E-2</v>
      </c>
      <c r="AM13" s="11"/>
      <c r="AN13" s="10">
        <v>0.18686</v>
      </c>
      <c r="AO13" s="10">
        <v>0.16122</v>
      </c>
      <c r="AP13" s="10">
        <v>22.531500000000001</v>
      </c>
      <c r="AQ13" s="10">
        <v>575.94470000000001</v>
      </c>
      <c r="AR13" s="10">
        <v>28.016300000000001</v>
      </c>
      <c r="AS13" s="10">
        <v>1.8319999999999999E-2</v>
      </c>
      <c r="AT13" s="10">
        <v>0.50197000000000003</v>
      </c>
      <c r="AU13" s="10">
        <v>1.0992E-2</v>
      </c>
      <c r="AV13" s="10">
        <v>1.1462000000000001</v>
      </c>
      <c r="AW13" s="10">
        <v>1.8906000000000001</v>
      </c>
      <c r="AX13" s="10">
        <v>8.8156999999999996</v>
      </c>
      <c r="AY13" s="10">
        <v>17.243300000000001</v>
      </c>
      <c r="AZ13" s="10">
        <v>12.004899999999999</v>
      </c>
      <c r="BA13" s="10">
        <v>1.6698</v>
      </c>
      <c r="BB13" s="10">
        <v>134.7347</v>
      </c>
      <c r="BC13" s="10">
        <v>3.6480000000000001</v>
      </c>
      <c r="BD13" s="10">
        <v>59.342599999999997</v>
      </c>
      <c r="BE13" s="10">
        <v>8.4272E-2</v>
      </c>
      <c r="BF13" s="10">
        <v>1.8319999999999999E-2</v>
      </c>
      <c r="BG13" s="10">
        <v>2.6511999999999998</v>
      </c>
      <c r="BH13" s="10">
        <v>3.5889000000000002</v>
      </c>
      <c r="BI13" s="10">
        <v>19.6648</v>
      </c>
      <c r="BJ13" s="10">
        <v>1.1901999999999999</v>
      </c>
      <c r="BK13" s="10">
        <v>4.3968E-2</v>
      </c>
      <c r="BL13" s="11"/>
      <c r="BM13" s="10">
        <v>20.273199999999999</v>
      </c>
      <c r="BN13" s="10">
        <v>1.6664000000000001</v>
      </c>
      <c r="BO13" s="10">
        <v>0.21251</v>
      </c>
      <c r="BP13" s="11"/>
      <c r="BQ13" s="10">
        <v>0.43214999999999998</v>
      </c>
      <c r="BR13" s="10">
        <v>37.896799999999999</v>
      </c>
      <c r="BS13" s="10">
        <v>413.7595</v>
      </c>
      <c r="BT13" s="11"/>
      <c r="BU13" s="10">
        <v>0.16122</v>
      </c>
      <c r="BV13" s="10">
        <v>1.4326000000000001</v>
      </c>
      <c r="BW13" s="10">
        <v>4.7632000000000001E-2</v>
      </c>
      <c r="BX13" s="10">
        <v>17.219899999999999</v>
      </c>
      <c r="BY13" s="10">
        <v>1052.0008</v>
      </c>
      <c r="BZ13" s="10">
        <v>1.6875</v>
      </c>
      <c r="CA13" s="11"/>
      <c r="CB13" s="10">
        <v>25.4343</v>
      </c>
      <c r="CC13" s="10">
        <v>0.40670000000000001</v>
      </c>
      <c r="CD13" s="10">
        <v>4.7632000000000001E-2</v>
      </c>
      <c r="CE13" s="11"/>
      <c r="CF13" s="10">
        <v>2.2780999999999998</v>
      </c>
      <c r="CG13" s="10">
        <v>0.74746000000000001</v>
      </c>
      <c r="CH13" s="10">
        <v>5.8624000000000002E-2</v>
      </c>
      <c r="CI13" s="10">
        <v>1.3667</v>
      </c>
      <c r="CJ13" s="10">
        <v>0.31490000000000001</v>
      </c>
      <c r="CK13" s="10">
        <v>1.1756</v>
      </c>
      <c r="CL13" s="10">
        <v>7.7515000000000001</v>
      </c>
      <c r="CM13" s="10">
        <v>62.358199999999997</v>
      </c>
      <c r="CN13" s="10">
        <v>1.2637</v>
      </c>
      <c r="CO13" s="10">
        <v>177.6448</v>
      </c>
      <c r="CP13" s="10">
        <v>33.362200000000001</v>
      </c>
      <c r="CQ13" s="10">
        <v>83.038700000000006</v>
      </c>
      <c r="CR13" s="10">
        <v>22.601299999999998</v>
      </c>
      <c r="CS13" s="10">
        <v>18.494399999999999</v>
      </c>
      <c r="CT13" s="10">
        <v>14.8009</v>
      </c>
      <c r="CU13" s="10">
        <v>269.661</v>
      </c>
      <c r="CV13" s="10">
        <v>4.2668999999999997</v>
      </c>
      <c r="CW13" s="10">
        <v>653.21540000000005</v>
      </c>
      <c r="CX13" s="10">
        <v>1.7567999999999999</v>
      </c>
      <c r="CY13" s="10">
        <v>142.26910000000001</v>
      </c>
      <c r="CZ13" s="10">
        <v>3.1265000000000001</v>
      </c>
      <c r="DA13" s="10">
        <v>1.0992E-2</v>
      </c>
      <c r="DB13" s="11"/>
      <c r="DC13" s="10">
        <v>26.8095</v>
      </c>
      <c r="DD13" s="10">
        <v>13.112500000000001</v>
      </c>
      <c r="DE13" s="10">
        <v>0.31877</v>
      </c>
      <c r="DF13" s="10">
        <v>10.4269</v>
      </c>
      <c r="DG13" s="10">
        <v>4.3441000000000001</v>
      </c>
      <c r="DH13" s="11"/>
      <c r="DI13" s="10">
        <v>1.2710999999999999</v>
      </c>
      <c r="DJ13" s="10">
        <v>35.522199999999998</v>
      </c>
      <c r="DK13" s="11"/>
      <c r="DL13" s="10">
        <v>19.481999999999999</v>
      </c>
      <c r="DM13" s="10">
        <v>13.1822</v>
      </c>
      <c r="DN13" s="10">
        <v>0.16854</v>
      </c>
      <c r="DO13" s="10">
        <v>0.84975000000000001</v>
      </c>
      <c r="DP13" s="10">
        <v>0.38075999999999999</v>
      </c>
      <c r="DQ13" s="10">
        <v>9.1378000000000004</v>
      </c>
      <c r="DR13" s="11"/>
      <c r="DS13" s="10">
        <v>0.16122</v>
      </c>
      <c r="DT13" s="10">
        <v>0.65219000000000005</v>
      </c>
      <c r="DU13" s="11"/>
      <c r="DV13" s="11"/>
      <c r="DW13" s="10">
        <v>0.27479999999999999</v>
      </c>
      <c r="DX13" s="10">
        <v>0.57157999999999998</v>
      </c>
      <c r="DY13" s="10">
        <v>102.17619999999999</v>
      </c>
      <c r="DZ13" s="11"/>
      <c r="EA13" s="10">
        <v>16.9434</v>
      </c>
      <c r="EB13" s="10">
        <v>2.6818</v>
      </c>
      <c r="EC13" s="10">
        <v>0.80393999999999999</v>
      </c>
      <c r="ED13" s="10">
        <v>7.3280000000000003E-3</v>
      </c>
      <c r="EE13" s="10">
        <v>5.8174000000000001</v>
      </c>
      <c r="EF13" s="10">
        <v>3.2378</v>
      </c>
      <c r="EG13" s="10">
        <v>3.2126000000000001</v>
      </c>
      <c r="EH13" s="11"/>
      <c r="EI13" s="10">
        <v>6.5951999999999997E-2</v>
      </c>
      <c r="EJ13" s="10">
        <v>0.39938000000000001</v>
      </c>
      <c r="EK13" s="10">
        <v>115.8021</v>
      </c>
      <c r="EL13" s="10">
        <v>1.5571999999999999</v>
      </c>
      <c r="EM13" s="10">
        <v>14.257</v>
      </c>
      <c r="EN13" s="10">
        <v>1.2856000000000001</v>
      </c>
      <c r="EO13" s="10">
        <v>0.19044</v>
      </c>
      <c r="EP13" s="10">
        <v>12.0999</v>
      </c>
      <c r="EQ13" s="11"/>
      <c r="ER13" s="10">
        <v>64.079400000000007</v>
      </c>
      <c r="ES13" s="10">
        <v>5.9537000000000004</v>
      </c>
      <c r="ET13" s="10">
        <v>22.1938</v>
      </c>
      <c r="EU13" s="11"/>
      <c r="EV13" s="10">
        <v>0.23449999999999999</v>
      </c>
      <c r="EW13" s="10">
        <v>20.2134</v>
      </c>
      <c r="EX13" s="11"/>
      <c r="EY13" s="10">
        <v>2.0510999999999999</v>
      </c>
      <c r="EZ13" s="10">
        <v>0.55693000000000004</v>
      </c>
      <c r="FA13" s="10">
        <v>0.52014000000000005</v>
      </c>
      <c r="FB13" s="10">
        <v>15.285299999999999</v>
      </c>
      <c r="FC13" s="10">
        <v>22.829499999999999</v>
      </c>
      <c r="FD13" s="10">
        <v>293.36529999999999</v>
      </c>
      <c r="FE13" s="10">
        <v>14.5928</v>
      </c>
      <c r="FF13" s="10">
        <v>7.1665999999999999</v>
      </c>
      <c r="FG13" s="10">
        <v>0.34815000000000002</v>
      </c>
      <c r="FH13" s="11"/>
      <c r="FI13" s="10">
        <v>111.5274</v>
      </c>
      <c r="FJ13" s="10">
        <v>1371.4840999999999</v>
      </c>
      <c r="FK13" s="10">
        <v>5.8624000000000002E-2</v>
      </c>
      <c r="FL13" s="11"/>
      <c r="FM13" s="11"/>
      <c r="FN13" s="10">
        <v>6.2288000000000003E-2</v>
      </c>
      <c r="FO13" s="10">
        <v>3.2975999999999998E-2</v>
      </c>
      <c r="FP13" s="10">
        <v>2.9312000000000001E-2</v>
      </c>
      <c r="FQ13" s="10">
        <v>2.9312000000000001E-2</v>
      </c>
      <c r="FR13" s="10">
        <v>1.4656000000000001E-2</v>
      </c>
      <c r="FS13" s="10">
        <v>35.271000000000001</v>
      </c>
      <c r="FT13" s="10">
        <v>0.49014000000000002</v>
      </c>
      <c r="FU13" s="10">
        <v>23.698799999999999</v>
      </c>
      <c r="FV13" s="10">
        <v>7.3280000000000003E-3</v>
      </c>
      <c r="FW13" s="10">
        <v>1.0845</v>
      </c>
      <c r="FX13" s="10">
        <v>7.1971999999999996</v>
      </c>
      <c r="FY13" s="10">
        <v>43.027500000000003</v>
      </c>
      <c r="FZ13" s="10">
        <v>6.7229000000000001</v>
      </c>
      <c r="GA13" s="10">
        <v>3.6639999999999999E-2</v>
      </c>
      <c r="GB13" s="10">
        <v>0.16122</v>
      </c>
      <c r="GC13" s="10">
        <v>143.14279999999999</v>
      </c>
      <c r="GD13" s="10">
        <v>42.468200000000003</v>
      </c>
      <c r="GE13" s="10">
        <v>96.736900000000006</v>
      </c>
      <c r="GF13" s="10">
        <v>4.3151000000000002</v>
      </c>
      <c r="GG13" s="10">
        <v>3.8319999999999999</v>
      </c>
      <c r="GH13" s="10">
        <v>1.5206</v>
      </c>
      <c r="GI13" s="10">
        <v>0.30410999999999999</v>
      </c>
      <c r="GJ13" s="10">
        <v>86.381100000000004</v>
      </c>
      <c r="GK13" s="10">
        <v>38.046999999999997</v>
      </c>
      <c r="GL13" s="10">
        <v>7.2325999999999997</v>
      </c>
      <c r="GM13" s="10">
        <v>26.291</v>
      </c>
      <c r="GN13" s="10">
        <v>6.2992999999999997</v>
      </c>
      <c r="GO13" s="10">
        <v>1.7947</v>
      </c>
      <c r="GP13" s="10">
        <v>14.54</v>
      </c>
      <c r="GQ13" s="11"/>
      <c r="GR13" s="10">
        <v>0.24182000000000001</v>
      </c>
      <c r="GS13" s="10">
        <v>1.0992E-2</v>
      </c>
      <c r="GT13" s="10">
        <v>3.9011999999999998</v>
      </c>
      <c r="GU13" s="10">
        <v>3.8521000000000001</v>
      </c>
      <c r="GV13" s="10">
        <v>38.752699999999997</v>
      </c>
      <c r="GW13" s="10">
        <v>25.6661</v>
      </c>
      <c r="GX13" s="11"/>
      <c r="GY13" s="11"/>
      <c r="GZ13" s="10">
        <v>1.1754</v>
      </c>
      <c r="HA13" s="10">
        <v>414.18979999999999</v>
      </c>
      <c r="HB13" s="10">
        <v>20.507400000000001</v>
      </c>
      <c r="HC13" s="10">
        <v>628.38250000000005</v>
      </c>
      <c r="HD13" s="10">
        <v>4021.5025999999998</v>
      </c>
      <c r="HE13" s="10">
        <v>5.5894000000000004</v>
      </c>
      <c r="HF13" s="10">
        <v>68.9679</v>
      </c>
      <c r="HG13" s="10">
        <v>4.3968E-2</v>
      </c>
      <c r="HH13" s="10">
        <v>68.933199999999999</v>
      </c>
      <c r="HI13" s="10">
        <v>27.055599999999998</v>
      </c>
      <c r="HJ13" s="11"/>
      <c r="HK13" s="11"/>
      <c r="HL13" s="10">
        <v>4.6753</v>
      </c>
      <c r="HM13" s="10">
        <v>4.2709000000000001</v>
      </c>
      <c r="HN13" s="10">
        <v>6.7439</v>
      </c>
      <c r="HO13" s="10">
        <f t="shared" si="0"/>
        <v>13275.767688999997</v>
      </c>
      <c r="HP13" s="10">
        <f t="shared" si="1"/>
        <v>13.275767688999997</v>
      </c>
      <c r="HQ13" s="10">
        <f t="shared" si="2"/>
        <v>3.620334793836923</v>
      </c>
      <c r="HR13" s="11"/>
      <c r="HS13" s="11"/>
      <c r="HT13" s="11"/>
      <c r="HU13" s="11"/>
      <c r="HV13" s="11"/>
      <c r="HW13" s="11"/>
    </row>
    <row r="14" spans="1:231" ht="19.95" customHeight="1">
      <c r="A14" s="8">
        <v>1970</v>
      </c>
      <c r="B14" s="9">
        <v>1.6704000000000001</v>
      </c>
      <c r="C14" s="10">
        <v>3.7408999999999999</v>
      </c>
      <c r="D14" s="10">
        <v>15.058999999999999</v>
      </c>
      <c r="E14" s="11"/>
      <c r="F14" s="10">
        <v>3.5779000000000001</v>
      </c>
      <c r="G14" s="11"/>
      <c r="H14" s="10">
        <v>0.46166000000000001</v>
      </c>
      <c r="I14" s="10">
        <v>82.647999999999996</v>
      </c>
      <c r="J14" s="10">
        <v>11.8788</v>
      </c>
      <c r="K14" s="10">
        <v>0.92876000000000003</v>
      </c>
      <c r="L14" s="10">
        <v>147.47980000000001</v>
      </c>
      <c r="M14" s="10">
        <v>50.631700000000002</v>
      </c>
      <c r="N14" s="10">
        <v>34.0246</v>
      </c>
      <c r="O14" s="10">
        <v>2.5688</v>
      </c>
      <c r="P14" s="10">
        <v>2.5903999999999998</v>
      </c>
      <c r="Q14" s="10">
        <v>3.8031999999999999</v>
      </c>
      <c r="R14" s="10">
        <v>0.42869000000000002</v>
      </c>
      <c r="S14" s="10">
        <v>74.406899999999993</v>
      </c>
      <c r="T14" s="10">
        <v>125.4905</v>
      </c>
      <c r="U14" s="10">
        <v>0.12091</v>
      </c>
      <c r="V14" s="10">
        <v>0.28212999999999999</v>
      </c>
      <c r="W14" s="10">
        <v>0.22717000000000001</v>
      </c>
      <c r="X14" s="10">
        <v>3.6640000000000002E-3</v>
      </c>
      <c r="Y14" s="10">
        <v>2.4836999999999998</v>
      </c>
      <c r="Z14" s="10">
        <v>0.70667999999999997</v>
      </c>
      <c r="AA14" s="10">
        <v>10.6464</v>
      </c>
      <c r="AB14" s="11"/>
      <c r="AC14" s="10">
        <v>93.530500000000004</v>
      </c>
      <c r="AD14" s="10">
        <v>1.8319999999999999E-2</v>
      </c>
      <c r="AE14" s="10">
        <v>8.2036999999999995</v>
      </c>
      <c r="AF14" s="10">
        <v>61.173999999999999</v>
      </c>
      <c r="AG14" s="10">
        <v>0.1429</v>
      </c>
      <c r="AH14" s="10">
        <v>6.2288000000000003E-2</v>
      </c>
      <c r="AI14" s="10">
        <v>1.1722999999999999</v>
      </c>
      <c r="AJ14" s="10">
        <v>0.63741999999999999</v>
      </c>
      <c r="AK14" s="10">
        <v>341.17720000000003</v>
      </c>
      <c r="AL14" s="10">
        <v>3.6581000000000002E-2</v>
      </c>
      <c r="AM14" s="11"/>
      <c r="AN14" s="10">
        <v>0.20885000000000001</v>
      </c>
      <c r="AO14" s="10">
        <v>0.12458</v>
      </c>
      <c r="AP14" s="10">
        <v>24.6358</v>
      </c>
      <c r="AQ14" s="10">
        <v>770.16719999999998</v>
      </c>
      <c r="AR14" s="10">
        <v>28.370100000000001</v>
      </c>
      <c r="AS14" s="10">
        <v>2.9312000000000001E-2</v>
      </c>
      <c r="AT14" s="10">
        <v>0.57157999999999998</v>
      </c>
      <c r="AU14" s="10">
        <v>1.0992E-2</v>
      </c>
      <c r="AV14" s="10">
        <v>1.2486999999999999</v>
      </c>
      <c r="AW14" s="10">
        <v>2.2423999999999999</v>
      </c>
      <c r="AX14" s="10">
        <v>11.5282</v>
      </c>
      <c r="AY14" s="10">
        <v>18.6541</v>
      </c>
      <c r="AZ14" s="10">
        <v>13.4268</v>
      </c>
      <c r="BA14" s="10">
        <v>1.7027000000000001</v>
      </c>
      <c r="BB14" s="10">
        <v>154.47550000000001</v>
      </c>
      <c r="BC14" s="10">
        <v>2.7097000000000002</v>
      </c>
      <c r="BD14" s="10">
        <v>62.039299999999997</v>
      </c>
      <c r="BE14" s="10">
        <v>0.13922999999999999</v>
      </c>
      <c r="BF14" s="10">
        <v>2.5648000000000001E-2</v>
      </c>
      <c r="BG14" s="10">
        <v>3.1051000000000002</v>
      </c>
      <c r="BH14" s="10">
        <v>4.2782</v>
      </c>
      <c r="BI14" s="10">
        <v>21.654</v>
      </c>
      <c r="BJ14" s="10">
        <v>1.4282999999999999</v>
      </c>
      <c r="BK14" s="10">
        <v>3.6639999999999999E-2</v>
      </c>
      <c r="BL14" s="11"/>
      <c r="BM14" s="10">
        <v>21.320699999999999</v>
      </c>
      <c r="BN14" s="10">
        <v>1.6516999999999999</v>
      </c>
      <c r="BO14" s="10">
        <v>0.25647999999999999</v>
      </c>
      <c r="BP14" s="11"/>
      <c r="BQ14" s="10">
        <v>0.52005000000000001</v>
      </c>
      <c r="BR14" s="10">
        <v>40.354999999999997</v>
      </c>
      <c r="BS14" s="10">
        <v>439.62509999999997</v>
      </c>
      <c r="BT14" s="11"/>
      <c r="BU14" s="10">
        <v>0.19419</v>
      </c>
      <c r="BV14" s="10">
        <v>2.0811999999999999</v>
      </c>
      <c r="BW14" s="10">
        <v>4.7632000000000001E-2</v>
      </c>
      <c r="BX14" s="10">
        <v>18.112200000000001</v>
      </c>
      <c r="BY14" s="10">
        <v>1026.0223000000001</v>
      </c>
      <c r="BZ14" s="10">
        <v>2.6215999999999999</v>
      </c>
      <c r="CA14" s="11"/>
      <c r="CB14" s="10">
        <v>24.126200000000001</v>
      </c>
      <c r="CC14" s="10">
        <v>0.38106000000000001</v>
      </c>
      <c r="CD14" s="10">
        <v>4.3968E-2</v>
      </c>
      <c r="CE14" s="11"/>
      <c r="CF14" s="10">
        <v>2.2964000000000002</v>
      </c>
      <c r="CG14" s="10">
        <v>0.79142000000000001</v>
      </c>
      <c r="CH14" s="10">
        <v>6.9615999999999997E-2</v>
      </c>
      <c r="CI14" s="10">
        <v>1.5791999999999999</v>
      </c>
      <c r="CJ14" s="10">
        <v>0.38447999999999999</v>
      </c>
      <c r="CK14" s="10">
        <v>1.3879999999999999</v>
      </c>
      <c r="CL14" s="10">
        <v>8.3925000000000001</v>
      </c>
      <c r="CM14" s="10">
        <v>69.934600000000003</v>
      </c>
      <c r="CN14" s="10">
        <v>1.3883000000000001</v>
      </c>
      <c r="CO14" s="10">
        <v>181.9545</v>
      </c>
      <c r="CP14" s="10">
        <v>35.791400000000003</v>
      </c>
      <c r="CQ14" s="10">
        <v>91.787499999999994</v>
      </c>
      <c r="CR14" s="10">
        <v>23.883800000000001</v>
      </c>
      <c r="CS14" s="10">
        <v>19.393699999999999</v>
      </c>
      <c r="CT14" s="10">
        <v>16.5594</v>
      </c>
      <c r="CU14" s="10">
        <v>296.36450000000002</v>
      </c>
      <c r="CV14" s="10">
        <v>4.9885999999999999</v>
      </c>
      <c r="CW14" s="10">
        <v>767.96310000000005</v>
      </c>
      <c r="CX14" s="10">
        <v>1.5557000000000001</v>
      </c>
      <c r="CY14" s="10">
        <v>149.63980000000001</v>
      </c>
      <c r="CZ14" s="10">
        <v>3.0781999999999998</v>
      </c>
      <c r="DA14" s="10">
        <v>2.1984E-2</v>
      </c>
      <c r="DB14" s="11"/>
      <c r="DC14" s="10">
        <v>25.0215</v>
      </c>
      <c r="DD14" s="10">
        <v>13.7919</v>
      </c>
      <c r="DE14" s="10">
        <v>0.57157999999999998</v>
      </c>
      <c r="DF14" s="10">
        <v>10.9672</v>
      </c>
      <c r="DG14" s="10">
        <v>3.9407000000000001</v>
      </c>
      <c r="DH14" s="11"/>
      <c r="DI14" s="10">
        <v>1.4505999999999999</v>
      </c>
      <c r="DJ14" s="10">
        <v>32.305100000000003</v>
      </c>
      <c r="DK14" s="11"/>
      <c r="DL14" s="10">
        <v>20.491499999999998</v>
      </c>
      <c r="DM14" s="10">
        <v>13.7354</v>
      </c>
      <c r="DN14" s="10">
        <v>0.20518</v>
      </c>
      <c r="DO14" s="10">
        <v>0.97065999999999997</v>
      </c>
      <c r="DP14" s="10">
        <v>0.45406999999999997</v>
      </c>
      <c r="DQ14" s="10">
        <v>14.585900000000001</v>
      </c>
      <c r="DR14" s="11"/>
      <c r="DS14" s="10">
        <v>0.20152</v>
      </c>
      <c r="DT14" s="10">
        <v>0.66317999999999999</v>
      </c>
      <c r="DU14" s="11"/>
      <c r="DV14" s="11"/>
      <c r="DW14" s="10">
        <v>0.42869000000000002</v>
      </c>
      <c r="DX14" s="10">
        <v>0.49830000000000002</v>
      </c>
      <c r="DY14" s="10">
        <v>113.9507</v>
      </c>
      <c r="DZ14" s="11"/>
      <c r="EA14" s="10">
        <v>17.821200000000001</v>
      </c>
      <c r="EB14" s="10">
        <v>2.8464999999999998</v>
      </c>
      <c r="EC14" s="10">
        <v>1.0506</v>
      </c>
      <c r="ED14" s="10">
        <v>1.4656000000000001E-2</v>
      </c>
      <c r="EE14" s="10">
        <v>7.282</v>
      </c>
      <c r="EF14" s="10">
        <v>2.9809000000000001</v>
      </c>
      <c r="EG14" s="10">
        <v>4.6123000000000003</v>
      </c>
      <c r="EH14" s="11"/>
      <c r="EI14" s="10">
        <v>6.5951999999999997E-2</v>
      </c>
      <c r="EJ14" s="10">
        <v>0.22717000000000001</v>
      </c>
      <c r="EK14" s="10">
        <v>141.80330000000001</v>
      </c>
      <c r="EL14" s="10">
        <v>2.3925999999999998</v>
      </c>
      <c r="EM14" s="10">
        <v>14.18</v>
      </c>
      <c r="EN14" s="10">
        <v>1.4028</v>
      </c>
      <c r="EO14" s="10">
        <v>0.21606</v>
      </c>
      <c r="EP14" s="10">
        <v>21.52</v>
      </c>
      <c r="EQ14" s="10">
        <v>3.6640000000000002E-3</v>
      </c>
      <c r="ER14" s="10">
        <v>73.476299999999995</v>
      </c>
      <c r="ES14" s="10">
        <v>7.7803000000000004</v>
      </c>
      <c r="ET14" s="10">
        <v>27.9787</v>
      </c>
      <c r="EU14" s="11"/>
      <c r="EV14" s="10">
        <v>0.23449999999999999</v>
      </c>
      <c r="EW14" s="10">
        <v>20.5044</v>
      </c>
      <c r="EX14" s="11"/>
      <c r="EY14" s="10">
        <v>2.2010999999999998</v>
      </c>
      <c r="EZ14" s="10">
        <v>0.6925</v>
      </c>
      <c r="FA14" s="10">
        <v>0.74343999999999999</v>
      </c>
      <c r="FB14" s="10">
        <v>17.765799999999999</v>
      </c>
      <c r="FC14" s="10">
        <v>24.7514</v>
      </c>
      <c r="FD14" s="10">
        <v>304.14339999999999</v>
      </c>
      <c r="FE14" s="10">
        <v>15.236499999999999</v>
      </c>
      <c r="FF14" s="10">
        <v>7.5614999999999997</v>
      </c>
      <c r="FG14" s="10">
        <v>0.40398000000000001</v>
      </c>
      <c r="FH14" s="11"/>
      <c r="FI14" s="10">
        <v>119.9815</v>
      </c>
      <c r="FJ14" s="10">
        <v>1442.5300999999999</v>
      </c>
      <c r="FK14" s="10">
        <v>5.8624000000000002E-2</v>
      </c>
      <c r="FL14" s="11"/>
      <c r="FM14" s="11"/>
      <c r="FN14" s="10">
        <v>6.5951999999999997E-2</v>
      </c>
      <c r="FO14" s="10">
        <v>3.6639999999999999E-2</v>
      </c>
      <c r="FP14" s="10">
        <v>2.9312000000000001E-2</v>
      </c>
      <c r="FQ14" s="10">
        <v>2.9312000000000001E-2</v>
      </c>
      <c r="FR14" s="10">
        <v>1.4656000000000001E-2</v>
      </c>
      <c r="FS14" s="10">
        <v>45.251300000000001</v>
      </c>
      <c r="FT14" s="10">
        <v>1.3070999999999999</v>
      </c>
      <c r="FU14" s="10">
        <v>30.962</v>
      </c>
      <c r="FV14" s="10">
        <v>2.9312000000000001E-2</v>
      </c>
      <c r="FW14" s="10">
        <v>0.85738000000000003</v>
      </c>
      <c r="FX14" s="10">
        <v>18.192499999999999</v>
      </c>
      <c r="FY14" s="10">
        <v>49.331400000000002</v>
      </c>
      <c r="FZ14" s="10">
        <v>8.7896000000000001</v>
      </c>
      <c r="GA14" s="10">
        <v>4.0304E-2</v>
      </c>
      <c r="GB14" s="10">
        <v>0.21618000000000001</v>
      </c>
      <c r="GC14" s="10">
        <v>149.6182</v>
      </c>
      <c r="GD14" s="10">
        <v>53.7164</v>
      </c>
      <c r="GE14" s="10">
        <v>116.76649999999999</v>
      </c>
      <c r="GF14" s="10">
        <v>3.5931000000000002</v>
      </c>
      <c r="GG14" s="10">
        <v>4.4466999999999999</v>
      </c>
      <c r="GH14" s="10">
        <v>1.6085</v>
      </c>
      <c r="GI14" s="10">
        <v>0.3664</v>
      </c>
      <c r="GJ14" s="10">
        <v>92.287000000000006</v>
      </c>
      <c r="GK14" s="10">
        <v>40.244300000000003</v>
      </c>
      <c r="GL14" s="10">
        <v>6.6498999999999997</v>
      </c>
      <c r="GM14" s="10">
        <v>28.734000000000002</v>
      </c>
      <c r="GN14" s="10">
        <v>6.6257000000000001</v>
      </c>
      <c r="GO14" s="10">
        <v>1.7654000000000001</v>
      </c>
      <c r="GP14" s="10">
        <v>15.352499999999999</v>
      </c>
      <c r="GQ14" s="11"/>
      <c r="GR14" s="10">
        <v>0.27479999999999999</v>
      </c>
      <c r="GS14" s="10">
        <v>2.5648000000000001E-2</v>
      </c>
      <c r="GT14" s="10">
        <v>8.9903999999999993</v>
      </c>
      <c r="GU14" s="10">
        <v>3.7387000000000001</v>
      </c>
      <c r="GV14" s="10">
        <v>42.5792</v>
      </c>
      <c r="GW14" s="10">
        <v>26.997</v>
      </c>
      <c r="GX14" s="11"/>
      <c r="GY14" s="11"/>
      <c r="GZ14" s="10">
        <v>1.4428000000000001</v>
      </c>
      <c r="HA14" s="10">
        <v>435.65089999999998</v>
      </c>
      <c r="HB14" s="10">
        <v>15.2349</v>
      </c>
      <c r="HC14" s="10">
        <v>652.57740000000001</v>
      </c>
      <c r="HD14" s="10">
        <v>4325.5007999999998</v>
      </c>
      <c r="HE14" s="10">
        <v>5.7358000000000002</v>
      </c>
      <c r="HF14" s="10">
        <v>72.544899999999998</v>
      </c>
      <c r="HG14" s="10">
        <v>4.0304E-2</v>
      </c>
      <c r="HH14" s="10">
        <v>74.489400000000003</v>
      </c>
      <c r="HI14" s="10">
        <v>28.172999999999998</v>
      </c>
      <c r="HJ14" s="11"/>
      <c r="HK14" s="11"/>
      <c r="HL14" s="10">
        <v>2.5097999999999998</v>
      </c>
      <c r="HM14" s="10">
        <v>3.7658999999999998</v>
      </c>
      <c r="HN14" s="10">
        <v>8.1540999999999997</v>
      </c>
      <c r="HO14" s="10">
        <f t="shared" si="0"/>
        <v>14385.445611000005</v>
      </c>
      <c r="HP14" s="10">
        <f t="shared" si="1"/>
        <v>14.385445611000005</v>
      </c>
      <c r="HQ14" s="10">
        <f t="shared" si="2"/>
        <v>3.9229467169348258</v>
      </c>
      <c r="HR14" s="11"/>
      <c r="HS14" s="11"/>
      <c r="HT14" s="11"/>
      <c r="HU14" s="11"/>
      <c r="HV14" s="11"/>
      <c r="HW14" s="11"/>
    </row>
    <row r="15" spans="1:231" ht="19.95" customHeight="1">
      <c r="A15" s="8">
        <v>1971</v>
      </c>
      <c r="B15" s="9">
        <v>1.8935999999999999</v>
      </c>
      <c r="C15" s="10">
        <v>4.3491999999999997</v>
      </c>
      <c r="D15" s="10">
        <v>18.6495</v>
      </c>
      <c r="E15" s="11"/>
      <c r="F15" s="10">
        <v>3.4054000000000002</v>
      </c>
      <c r="G15" s="11"/>
      <c r="H15" s="10">
        <v>0.42502000000000001</v>
      </c>
      <c r="I15" s="10">
        <v>88.847200000000001</v>
      </c>
      <c r="J15" s="10">
        <v>12.6098</v>
      </c>
      <c r="K15" s="10">
        <v>0.80832000000000004</v>
      </c>
      <c r="L15" s="10">
        <v>152.62950000000001</v>
      </c>
      <c r="M15" s="10">
        <v>52.069200000000002</v>
      </c>
      <c r="N15" s="10">
        <v>36.11</v>
      </c>
      <c r="O15" s="10">
        <v>6.7237</v>
      </c>
      <c r="P15" s="10">
        <v>3.0375000000000001</v>
      </c>
      <c r="Q15" s="10">
        <v>3.6057999999999999</v>
      </c>
      <c r="R15" s="10">
        <v>0.48365000000000002</v>
      </c>
      <c r="S15" s="10">
        <v>78.954400000000007</v>
      </c>
      <c r="T15" s="10">
        <v>121.3706</v>
      </c>
      <c r="U15" s="10">
        <v>0.1429</v>
      </c>
      <c r="V15" s="10">
        <v>0.29311999999999999</v>
      </c>
      <c r="W15" s="10">
        <v>0.23083000000000001</v>
      </c>
      <c r="X15" s="10">
        <v>3.6640000000000002E-3</v>
      </c>
      <c r="Y15" s="10">
        <v>3.0589</v>
      </c>
      <c r="Z15" s="10">
        <v>0.61502999999999997</v>
      </c>
      <c r="AA15" s="10">
        <v>11.473800000000001</v>
      </c>
      <c r="AB15" s="11"/>
      <c r="AC15" s="10">
        <v>102.3579</v>
      </c>
      <c r="AD15" s="10">
        <v>2.1984E-2</v>
      </c>
      <c r="AE15" s="10">
        <v>7.5111999999999997</v>
      </c>
      <c r="AF15" s="10">
        <v>64.221599999999995</v>
      </c>
      <c r="AG15" s="10">
        <v>0.15021999999999999</v>
      </c>
      <c r="AH15" s="10">
        <v>7.3279999999999998E-2</v>
      </c>
      <c r="AI15" s="10">
        <v>0.24890999999999999</v>
      </c>
      <c r="AJ15" s="10">
        <v>0.80918000000000001</v>
      </c>
      <c r="AK15" s="10">
        <v>352.2851</v>
      </c>
      <c r="AL15" s="10">
        <v>3.6609999999999997E-2</v>
      </c>
      <c r="AM15" s="11"/>
      <c r="AN15" s="10">
        <v>0.1832</v>
      </c>
      <c r="AO15" s="10">
        <v>0.15021999999999999</v>
      </c>
      <c r="AP15" s="10">
        <v>27.055</v>
      </c>
      <c r="AQ15" s="10">
        <v>874.01639999999998</v>
      </c>
      <c r="AR15" s="10">
        <v>30.281400000000001</v>
      </c>
      <c r="AS15" s="10">
        <v>2.9312000000000001E-2</v>
      </c>
      <c r="AT15" s="10">
        <v>0.68516999999999995</v>
      </c>
      <c r="AU15" s="10">
        <v>1.0992E-2</v>
      </c>
      <c r="AV15" s="10">
        <v>1.5269999999999999</v>
      </c>
      <c r="AW15" s="10">
        <v>2.4548999999999999</v>
      </c>
      <c r="AX15" s="10">
        <v>12.4185</v>
      </c>
      <c r="AY15" s="10">
        <v>19.5884</v>
      </c>
      <c r="AZ15" s="10">
        <v>11.685700000000001</v>
      </c>
      <c r="BA15" s="10">
        <v>1.8835</v>
      </c>
      <c r="BB15" s="10">
        <v>162.03020000000001</v>
      </c>
      <c r="BC15" s="10">
        <v>2.9586999999999999</v>
      </c>
      <c r="BD15" s="10">
        <v>57.009500000000003</v>
      </c>
      <c r="BE15" s="10">
        <v>0.16122</v>
      </c>
      <c r="BF15" s="10">
        <v>2.5648000000000001E-2</v>
      </c>
      <c r="BG15" s="10">
        <v>3.5186999999999999</v>
      </c>
      <c r="BH15" s="10">
        <v>4.2194000000000003</v>
      </c>
      <c r="BI15" s="10">
        <v>23.0124</v>
      </c>
      <c r="BJ15" s="10">
        <v>1.5087999999999999</v>
      </c>
      <c r="BK15" s="10">
        <v>6.5951999999999997E-2</v>
      </c>
      <c r="BL15" s="11"/>
      <c r="BM15" s="10">
        <v>22.6233</v>
      </c>
      <c r="BN15" s="10">
        <v>1.8494999999999999</v>
      </c>
      <c r="BO15" s="10">
        <v>0.26013999999999998</v>
      </c>
      <c r="BP15" s="11"/>
      <c r="BQ15" s="10">
        <v>0.54927000000000004</v>
      </c>
      <c r="BR15" s="10">
        <v>40.536799999999999</v>
      </c>
      <c r="BS15" s="10">
        <v>463.13139999999999</v>
      </c>
      <c r="BT15" s="11"/>
      <c r="BU15" s="10">
        <v>0.22717000000000001</v>
      </c>
      <c r="BV15" s="10">
        <v>2.8433000000000002</v>
      </c>
      <c r="BW15" s="10">
        <v>5.4960000000000002E-2</v>
      </c>
      <c r="BX15" s="10">
        <v>19.223700000000001</v>
      </c>
      <c r="BY15" s="10">
        <v>1037.2361000000001</v>
      </c>
      <c r="BZ15" s="10">
        <v>2.2915000000000001</v>
      </c>
      <c r="CA15" s="11"/>
      <c r="CB15" s="10">
        <v>27.749500000000001</v>
      </c>
      <c r="CC15" s="10">
        <v>0.46899000000000002</v>
      </c>
      <c r="CD15" s="10">
        <v>4.7632000000000001E-2</v>
      </c>
      <c r="CE15" s="11"/>
      <c r="CF15" s="10">
        <v>2.4392999999999998</v>
      </c>
      <c r="CG15" s="10">
        <v>0.81340999999999997</v>
      </c>
      <c r="CH15" s="10">
        <v>7.3279999999999998E-2</v>
      </c>
      <c r="CI15" s="10">
        <v>1.4985999999999999</v>
      </c>
      <c r="CJ15" s="10">
        <v>0.40273999999999999</v>
      </c>
      <c r="CK15" s="10">
        <v>1.3293999999999999</v>
      </c>
      <c r="CL15" s="10">
        <v>9.1506000000000007</v>
      </c>
      <c r="CM15" s="10">
        <v>69.209400000000002</v>
      </c>
      <c r="CN15" s="10">
        <v>1.4721</v>
      </c>
      <c r="CO15" s="10">
        <v>192.20189999999999</v>
      </c>
      <c r="CP15" s="10">
        <v>38.955300000000001</v>
      </c>
      <c r="CQ15" s="10">
        <v>101.62779999999999</v>
      </c>
      <c r="CR15" s="10">
        <v>28.831900000000001</v>
      </c>
      <c r="CS15" s="10">
        <v>22.476099999999999</v>
      </c>
      <c r="CT15" s="10">
        <v>16.218900000000001</v>
      </c>
      <c r="CU15" s="10">
        <v>311.04919999999998</v>
      </c>
      <c r="CV15" s="10">
        <v>5.7472000000000003</v>
      </c>
      <c r="CW15" s="10">
        <v>796.5444</v>
      </c>
      <c r="CX15" s="10">
        <v>1.6544000000000001</v>
      </c>
      <c r="CY15" s="10">
        <v>158.73230000000001</v>
      </c>
      <c r="CZ15" s="10">
        <v>3.6791</v>
      </c>
      <c r="DA15" s="10">
        <v>2.9312000000000001E-2</v>
      </c>
      <c r="DB15" s="11"/>
      <c r="DC15" s="10">
        <v>27.1173</v>
      </c>
      <c r="DD15" s="10">
        <v>14.638299999999999</v>
      </c>
      <c r="DE15" s="10">
        <v>0.42136000000000001</v>
      </c>
      <c r="DF15" s="10">
        <v>11.643700000000001</v>
      </c>
      <c r="DG15" s="10">
        <v>5.3006000000000002</v>
      </c>
      <c r="DH15" s="11"/>
      <c r="DI15" s="10">
        <v>1.5239</v>
      </c>
      <c r="DJ15" s="10">
        <v>21.628299999999999</v>
      </c>
      <c r="DK15" s="11"/>
      <c r="DL15" s="10">
        <v>21.7744</v>
      </c>
      <c r="DM15" s="10">
        <v>13.194699999999999</v>
      </c>
      <c r="DN15" s="10">
        <v>0.22717000000000001</v>
      </c>
      <c r="DO15" s="10">
        <v>1.0256000000000001</v>
      </c>
      <c r="DP15" s="10">
        <v>0.50170000000000003</v>
      </c>
      <c r="DQ15" s="10">
        <v>16.662600000000001</v>
      </c>
      <c r="DR15" s="10">
        <v>3.6640000000000002E-3</v>
      </c>
      <c r="DS15" s="10">
        <v>0.22717000000000001</v>
      </c>
      <c r="DT15" s="10">
        <v>0.65952</v>
      </c>
      <c r="DU15" s="11"/>
      <c r="DV15" s="11"/>
      <c r="DW15" s="10">
        <v>0.39938000000000001</v>
      </c>
      <c r="DX15" s="10">
        <v>0.39571000000000001</v>
      </c>
      <c r="DY15" s="10">
        <v>126.1901</v>
      </c>
      <c r="DZ15" s="11"/>
      <c r="EA15" s="10">
        <v>18.912800000000001</v>
      </c>
      <c r="EB15" s="10">
        <v>3.0324</v>
      </c>
      <c r="EC15" s="10">
        <v>1.1323000000000001</v>
      </c>
      <c r="ED15" s="10">
        <v>1.4656000000000001E-2</v>
      </c>
      <c r="EE15" s="10">
        <v>8.1903000000000006</v>
      </c>
      <c r="EF15" s="10">
        <v>3.6110000000000002</v>
      </c>
      <c r="EG15" s="10">
        <v>5.0994999999999999</v>
      </c>
      <c r="EH15" s="11"/>
      <c r="EI15" s="10">
        <v>8.7936E-2</v>
      </c>
      <c r="EJ15" s="10">
        <v>0.19786000000000001</v>
      </c>
      <c r="EK15" s="10">
        <v>140.6662</v>
      </c>
      <c r="EL15" s="10">
        <v>2.4182000000000001</v>
      </c>
      <c r="EM15" s="10">
        <v>15.048999999999999</v>
      </c>
      <c r="EN15" s="10">
        <v>1.5054000000000001</v>
      </c>
      <c r="EO15" s="10">
        <v>0.23071</v>
      </c>
      <c r="EP15" s="10">
        <v>32.2515</v>
      </c>
      <c r="EQ15" s="10">
        <v>3.6640000000000002E-3</v>
      </c>
      <c r="ER15" s="10">
        <v>107.453</v>
      </c>
      <c r="ES15" s="10">
        <v>8.3851999999999993</v>
      </c>
      <c r="ET15" s="10">
        <v>27.1662</v>
      </c>
      <c r="EU15" s="11"/>
      <c r="EV15" s="10">
        <v>2.0920999999999998</v>
      </c>
      <c r="EW15" s="10">
        <v>19.4407</v>
      </c>
      <c r="EX15" s="11"/>
      <c r="EY15" s="10">
        <v>2.6002999999999998</v>
      </c>
      <c r="EZ15" s="10">
        <v>0.82440000000000002</v>
      </c>
      <c r="FA15" s="10">
        <v>0.63348000000000004</v>
      </c>
      <c r="FB15" s="10">
        <v>18.592600000000001</v>
      </c>
      <c r="FC15" s="10">
        <v>27.5517</v>
      </c>
      <c r="FD15" s="10">
        <v>312.88080000000002</v>
      </c>
      <c r="FE15" s="10">
        <v>16.375699999999998</v>
      </c>
      <c r="FF15" s="10">
        <v>9.1442999999999994</v>
      </c>
      <c r="FG15" s="10">
        <v>0.41465999999999997</v>
      </c>
      <c r="FH15" s="11"/>
      <c r="FI15" s="10">
        <v>125.6815</v>
      </c>
      <c r="FJ15" s="10">
        <v>1530.8887</v>
      </c>
      <c r="FK15" s="10">
        <v>6.2288000000000003E-2</v>
      </c>
      <c r="FL15" s="11"/>
      <c r="FM15" s="11"/>
      <c r="FN15" s="10">
        <v>6.9615999999999997E-2</v>
      </c>
      <c r="FO15" s="10">
        <v>4.7632000000000001E-2</v>
      </c>
      <c r="FP15" s="10">
        <v>2.9312000000000001E-2</v>
      </c>
      <c r="FQ15" s="10">
        <v>3.6639999999999999E-2</v>
      </c>
      <c r="FR15" s="10">
        <v>1.0992E-2</v>
      </c>
      <c r="FS15" s="10">
        <v>59.756599999999999</v>
      </c>
      <c r="FT15" s="10">
        <v>1.351</v>
      </c>
      <c r="FU15" s="10">
        <v>33.362499999999997</v>
      </c>
      <c r="FV15" s="10">
        <v>3.2975999999999998E-2</v>
      </c>
      <c r="FW15" s="10">
        <v>0.80242000000000002</v>
      </c>
      <c r="FX15" s="10">
        <v>16.577100000000002</v>
      </c>
      <c r="FY15" s="10">
        <v>51.753399999999999</v>
      </c>
      <c r="FZ15" s="10">
        <v>9.4666999999999994</v>
      </c>
      <c r="GA15" s="10">
        <v>4.7632000000000001E-2</v>
      </c>
      <c r="GB15" s="10">
        <v>0.18686</v>
      </c>
      <c r="GC15" s="10">
        <v>168.4051</v>
      </c>
      <c r="GD15" s="10">
        <v>58.549799999999998</v>
      </c>
      <c r="GE15" s="10">
        <v>128.45849999999999</v>
      </c>
      <c r="GF15" s="10">
        <v>3.1934999999999998</v>
      </c>
      <c r="GG15" s="10">
        <v>4.5640999999999998</v>
      </c>
      <c r="GH15" s="10">
        <v>1.7144999999999999</v>
      </c>
      <c r="GI15" s="10">
        <v>0.39938000000000001</v>
      </c>
      <c r="GJ15" s="10">
        <v>84.509</v>
      </c>
      <c r="GK15" s="10">
        <v>41.887900000000002</v>
      </c>
      <c r="GL15" s="10">
        <v>8.8742000000000001</v>
      </c>
      <c r="GM15" s="10">
        <v>31.4754</v>
      </c>
      <c r="GN15" s="10">
        <v>7.0323000000000002</v>
      </c>
      <c r="GO15" s="10">
        <v>2.4615</v>
      </c>
      <c r="GP15" s="10">
        <v>19.2211</v>
      </c>
      <c r="GQ15" s="11"/>
      <c r="GR15" s="10">
        <v>0.31509999999999999</v>
      </c>
      <c r="GS15" s="10">
        <v>1.8319999999999999E-2</v>
      </c>
      <c r="GT15" s="10">
        <v>8.0963999999999992</v>
      </c>
      <c r="GU15" s="10">
        <v>4.2076000000000002</v>
      </c>
      <c r="GV15" s="10">
        <v>47.638199999999998</v>
      </c>
      <c r="GW15" s="10">
        <v>28.6526</v>
      </c>
      <c r="GX15" s="11"/>
      <c r="GY15" s="11"/>
      <c r="GZ15" s="10">
        <v>1.4377</v>
      </c>
      <c r="HA15" s="10">
        <v>462.26220000000001</v>
      </c>
      <c r="HB15" s="10">
        <v>21.166899999999998</v>
      </c>
      <c r="HC15" s="10">
        <v>660.38829999999996</v>
      </c>
      <c r="HD15" s="10">
        <v>4351.3086999999996</v>
      </c>
      <c r="HE15" s="10">
        <v>5.8018999999999998</v>
      </c>
      <c r="HF15" s="10">
        <v>76.930000000000007</v>
      </c>
      <c r="HG15" s="10">
        <v>5.8624000000000002E-2</v>
      </c>
      <c r="HH15" s="10">
        <v>62.5002</v>
      </c>
      <c r="HI15" s="10">
        <v>24.505400000000002</v>
      </c>
      <c r="HJ15" s="11"/>
      <c r="HK15" s="11"/>
      <c r="HL15" s="10">
        <v>1.9712000000000001</v>
      </c>
      <c r="HM15" s="10">
        <v>3.7867000000000002</v>
      </c>
      <c r="HN15" s="10">
        <v>8.7326999999999995</v>
      </c>
      <c r="HO15" s="10">
        <f t="shared" si="0"/>
        <v>14959.399368000002</v>
      </c>
      <c r="HP15" s="10">
        <f t="shared" si="1"/>
        <v>14.959399368000001</v>
      </c>
      <c r="HQ15" s="10">
        <f t="shared" si="2"/>
        <v>4.0794653307881106</v>
      </c>
      <c r="HR15" s="11"/>
      <c r="HS15" s="11"/>
      <c r="HT15" s="11"/>
      <c r="HU15" s="11"/>
      <c r="HV15" s="11"/>
      <c r="HW15" s="11"/>
    </row>
    <row r="16" spans="1:231" ht="19.95" customHeight="1">
      <c r="A16" s="8">
        <v>1972</v>
      </c>
      <c r="B16" s="9">
        <v>1.5304</v>
      </c>
      <c r="C16" s="10">
        <v>5.6388999999999996</v>
      </c>
      <c r="D16" s="10">
        <v>28.322600000000001</v>
      </c>
      <c r="E16" s="11"/>
      <c r="F16" s="10">
        <v>4.5004999999999997</v>
      </c>
      <c r="G16" s="11"/>
      <c r="H16" s="10">
        <v>0.37373000000000001</v>
      </c>
      <c r="I16" s="10">
        <v>90.066800000000001</v>
      </c>
      <c r="J16" s="10">
        <v>13.2715</v>
      </c>
      <c r="K16" s="10">
        <v>0.78378000000000003</v>
      </c>
      <c r="L16" s="10">
        <v>157.3355</v>
      </c>
      <c r="M16" s="10">
        <v>56.071399999999997</v>
      </c>
      <c r="N16" s="10">
        <v>37.996699999999997</v>
      </c>
      <c r="O16" s="10">
        <v>6.4813000000000001</v>
      </c>
      <c r="P16" s="10">
        <v>3.6787000000000001</v>
      </c>
      <c r="Q16" s="10">
        <v>3.5059</v>
      </c>
      <c r="R16" s="10">
        <v>0.50197000000000003</v>
      </c>
      <c r="S16" s="10">
        <v>83.066199999999995</v>
      </c>
      <c r="T16" s="10">
        <v>130.6378</v>
      </c>
      <c r="U16" s="10">
        <v>0.15755</v>
      </c>
      <c r="V16" s="10">
        <v>0.38838</v>
      </c>
      <c r="W16" s="10">
        <v>0.25281999999999999</v>
      </c>
      <c r="X16" s="10">
        <v>3.6640000000000002E-3</v>
      </c>
      <c r="Y16" s="10">
        <v>3.5680999999999998</v>
      </c>
      <c r="Z16" s="10">
        <v>0.59636</v>
      </c>
      <c r="AA16" s="10">
        <v>10.753500000000001</v>
      </c>
      <c r="AB16" s="10">
        <v>2.1984E-2</v>
      </c>
      <c r="AC16" s="10">
        <v>114.01430000000001</v>
      </c>
      <c r="AD16" s="10">
        <v>2.1984E-2</v>
      </c>
      <c r="AE16" s="10">
        <v>9.4530999999999992</v>
      </c>
      <c r="AF16" s="10">
        <v>66.078900000000004</v>
      </c>
      <c r="AG16" s="10">
        <v>0.16122</v>
      </c>
      <c r="AH16" s="10">
        <v>7.3279999999999998E-2</v>
      </c>
      <c r="AI16" s="10">
        <v>0.11704000000000001</v>
      </c>
      <c r="AJ16" s="10">
        <v>0.86036000000000001</v>
      </c>
      <c r="AK16" s="10">
        <v>380.78660000000002</v>
      </c>
      <c r="AL16" s="10">
        <v>5.1265999999999999E-2</v>
      </c>
      <c r="AM16" s="11"/>
      <c r="AN16" s="10">
        <v>0.16854</v>
      </c>
      <c r="AO16" s="10">
        <v>0.12091</v>
      </c>
      <c r="AP16" s="10">
        <v>28.1373</v>
      </c>
      <c r="AQ16" s="10">
        <v>928.89400000000001</v>
      </c>
      <c r="AR16" s="10">
        <v>31.4252</v>
      </c>
      <c r="AS16" s="10">
        <v>2.9312000000000001E-2</v>
      </c>
      <c r="AT16" s="10">
        <v>0.66317999999999999</v>
      </c>
      <c r="AU16" s="10">
        <v>1.0992E-2</v>
      </c>
      <c r="AV16" s="10">
        <v>1.7613000000000001</v>
      </c>
      <c r="AW16" s="10">
        <v>2.7113999999999998</v>
      </c>
      <c r="AX16" s="10">
        <v>11.626300000000001</v>
      </c>
      <c r="AY16" s="10">
        <v>20.776299999999999</v>
      </c>
      <c r="AZ16" s="10">
        <v>11.3309</v>
      </c>
      <c r="BA16" s="10">
        <v>2.4058999999999999</v>
      </c>
      <c r="BB16" s="10">
        <v>163.5033</v>
      </c>
      <c r="BC16" s="10">
        <v>3.0171999999999999</v>
      </c>
      <c r="BD16" s="10">
        <v>59.593899999999998</v>
      </c>
      <c r="BE16" s="10">
        <v>0.19053</v>
      </c>
      <c r="BF16" s="10">
        <v>2.5648000000000001E-2</v>
      </c>
      <c r="BG16" s="10">
        <v>4.6688999999999998</v>
      </c>
      <c r="BH16" s="10">
        <v>4.5890000000000004</v>
      </c>
      <c r="BI16" s="10">
        <v>25.475000000000001</v>
      </c>
      <c r="BJ16" s="10">
        <v>1.6772</v>
      </c>
      <c r="BK16" s="10">
        <v>8.7936E-2</v>
      </c>
      <c r="BL16" s="11"/>
      <c r="BM16" s="10">
        <v>23.800599999999999</v>
      </c>
      <c r="BN16" s="10">
        <v>1.4061999999999999</v>
      </c>
      <c r="BO16" s="10">
        <v>0.23449999999999999</v>
      </c>
      <c r="BP16" s="11"/>
      <c r="BQ16" s="10">
        <v>0.57855999999999996</v>
      </c>
      <c r="BR16" s="10">
        <v>44.106099999999998</v>
      </c>
      <c r="BS16" s="10">
        <v>481.58800000000002</v>
      </c>
      <c r="BT16" s="11"/>
      <c r="BU16" s="10">
        <v>0.21618000000000001</v>
      </c>
      <c r="BV16" s="10">
        <v>2.7370000000000001</v>
      </c>
      <c r="BW16" s="10">
        <v>6.5951999999999997E-2</v>
      </c>
      <c r="BX16" s="10">
        <v>20.229399999999998</v>
      </c>
      <c r="BY16" s="10">
        <v>1041.4794999999999</v>
      </c>
      <c r="BZ16" s="10">
        <v>2.4201999999999999</v>
      </c>
      <c r="CA16" s="11"/>
      <c r="CB16" s="10">
        <v>31.4773</v>
      </c>
      <c r="CC16" s="10">
        <v>0.55325999999999997</v>
      </c>
      <c r="CD16" s="10">
        <v>4.7632000000000001E-2</v>
      </c>
      <c r="CE16" s="11"/>
      <c r="CF16" s="10">
        <v>2.7065999999999999</v>
      </c>
      <c r="CG16" s="10">
        <v>0.83172999999999997</v>
      </c>
      <c r="CH16" s="10">
        <v>6.5951999999999997E-2</v>
      </c>
      <c r="CI16" s="10">
        <v>1.5609</v>
      </c>
      <c r="CJ16" s="10">
        <v>0.39172000000000001</v>
      </c>
      <c r="CK16" s="10">
        <v>1.5344</v>
      </c>
      <c r="CL16" s="10">
        <v>9.2756000000000007</v>
      </c>
      <c r="CM16" s="10">
        <v>69.354399999999998</v>
      </c>
      <c r="CN16" s="10">
        <v>1.4825999999999999</v>
      </c>
      <c r="CO16" s="10">
        <v>203.28809999999999</v>
      </c>
      <c r="CP16" s="10">
        <v>43.3063</v>
      </c>
      <c r="CQ16" s="10">
        <v>106.01519999999999</v>
      </c>
      <c r="CR16" s="10">
        <v>29.520499999999998</v>
      </c>
      <c r="CS16" s="10">
        <v>22.036300000000001</v>
      </c>
      <c r="CT16" s="10">
        <v>16.890899999999998</v>
      </c>
      <c r="CU16" s="10">
        <v>328.23750000000001</v>
      </c>
      <c r="CV16" s="10">
        <v>6.2824</v>
      </c>
      <c r="CW16" s="10">
        <v>852.17049999999995</v>
      </c>
      <c r="CX16" s="10">
        <v>1.9136</v>
      </c>
      <c r="CY16" s="10">
        <v>166.94059999999999</v>
      </c>
      <c r="CZ16" s="10">
        <v>3.8658999999999999</v>
      </c>
      <c r="DA16" s="10">
        <v>2.5648000000000001E-2</v>
      </c>
      <c r="DB16" s="11"/>
      <c r="DC16" s="10">
        <v>27.611899999999999</v>
      </c>
      <c r="DD16" s="10">
        <v>15.404199999999999</v>
      </c>
      <c r="DE16" s="10">
        <v>0.48731000000000002</v>
      </c>
      <c r="DF16" s="10">
        <v>12.256399999999999</v>
      </c>
      <c r="DG16" s="10">
        <v>5.6534000000000004</v>
      </c>
      <c r="DH16" s="11"/>
      <c r="DI16" s="10">
        <v>1.5055000000000001</v>
      </c>
      <c r="DJ16" s="10">
        <v>15.22</v>
      </c>
      <c r="DK16" s="11"/>
      <c r="DL16" s="10">
        <v>22.939599999999999</v>
      </c>
      <c r="DM16" s="10">
        <v>13.4948</v>
      </c>
      <c r="DN16" s="10">
        <v>0.23083000000000001</v>
      </c>
      <c r="DO16" s="10">
        <v>1.2858000000000001</v>
      </c>
      <c r="DP16" s="10">
        <v>0.54564000000000001</v>
      </c>
      <c r="DQ16" s="10">
        <v>17.900600000000001</v>
      </c>
      <c r="DR16" s="10">
        <v>3.6640000000000002E-3</v>
      </c>
      <c r="DS16" s="10">
        <v>0.24549000000000001</v>
      </c>
      <c r="DT16" s="10">
        <v>0.83906000000000003</v>
      </c>
      <c r="DU16" s="11"/>
      <c r="DV16" s="11"/>
      <c r="DW16" s="10">
        <v>0.44701000000000002</v>
      </c>
      <c r="DX16" s="10">
        <v>0.68883000000000005</v>
      </c>
      <c r="DY16" s="10">
        <v>132.2791</v>
      </c>
      <c r="DZ16" s="11"/>
      <c r="EA16" s="10">
        <v>19.899999999999999</v>
      </c>
      <c r="EB16" s="10">
        <v>3.2759</v>
      </c>
      <c r="EC16" s="10">
        <v>1.0611999999999999</v>
      </c>
      <c r="ED16" s="10">
        <v>1.4656000000000001E-2</v>
      </c>
      <c r="EE16" s="10">
        <v>8.0360999999999994</v>
      </c>
      <c r="EF16" s="10">
        <v>3.2957000000000001</v>
      </c>
      <c r="EG16" s="10">
        <v>4.8943000000000003</v>
      </c>
      <c r="EH16" s="11"/>
      <c r="EI16" s="10">
        <v>7.6943999999999999E-2</v>
      </c>
      <c r="EJ16" s="10">
        <v>0.26746999999999999</v>
      </c>
      <c r="EK16" s="10">
        <v>157.49539999999999</v>
      </c>
      <c r="EL16" s="10">
        <v>1.7038</v>
      </c>
      <c r="EM16" s="10">
        <v>16.189599999999999</v>
      </c>
      <c r="EN16" s="10">
        <v>1.6044</v>
      </c>
      <c r="EO16" s="10">
        <v>0.25269999999999998</v>
      </c>
      <c r="EP16" s="10">
        <v>41.387599999999999</v>
      </c>
      <c r="EQ16" s="10">
        <v>3.6640000000000002E-3</v>
      </c>
      <c r="ER16" s="10">
        <v>89.504900000000006</v>
      </c>
      <c r="ES16" s="10">
        <v>7.8592000000000004</v>
      </c>
      <c r="ET16" s="10">
        <v>29.395399999999999</v>
      </c>
      <c r="EU16" s="11"/>
      <c r="EV16" s="10">
        <v>2.0884999999999998</v>
      </c>
      <c r="EW16" s="10">
        <v>18.902999999999999</v>
      </c>
      <c r="EX16" s="11"/>
      <c r="EY16" s="10">
        <v>2.7982</v>
      </c>
      <c r="EZ16" s="10">
        <v>1.2677</v>
      </c>
      <c r="FA16" s="10">
        <v>0.71379000000000004</v>
      </c>
      <c r="FB16" s="10">
        <v>18.152200000000001</v>
      </c>
      <c r="FC16" s="10">
        <v>26.409400000000002</v>
      </c>
      <c r="FD16" s="10">
        <v>329.50639999999999</v>
      </c>
      <c r="FE16" s="10">
        <v>18.307300000000001</v>
      </c>
      <c r="FF16" s="10">
        <v>10.775399999999999</v>
      </c>
      <c r="FG16" s="10">
        <v>0.44762000000000002</v>
      </c>
      <c r="FH16" s="11"/>
      <c r="FI16" s="10">
        <v>132.2542</v>
      </c>
      <c r="FJ16" s="10">
        <v>1610.796</v>
      </c>
      <c r="FK16" s="10">
        <v>6.5951999999999997E-2</v>
      </c>
      <c r="FL16" s="11"/>
      <c r="FM16" s="11"/>
      <c r="FN16" s="10">
        <v>7.6943999999999999E-2</v>
      </c>
      <c r="FO16" s="10">
        <v>6.9615999999999997E-2</v>
      </c>
      <c r="FP16" s="10">
        <v>3.6639999999999999E-2</v>
      </c>
      <c r="FQ16" s="10">
        <v>3.6639999999999999E-2</v>
      </c>
      <c r="FR16" s="10">
        <v>1.0992E-2</v>
      </c>
      <c r="FS16" s="10">
        <v>70.281700000000001</v>
      </c>
      <c r="FT16" s="10">
        <v>1.4532</v>
      </c>
      <c r="FU16" s="10">
        <v>31.268699999999999</v>
      </c>
      <c r="FV16" s="10">
        <v>4.3968E-2</v>
      </c>
      <c r="FW16" s="10">
        <v>0.67784</v>
      </c>
      <c r="FX16" s="10">
        <v>22.2181</v>
      </c>
      <c r="FY16" s="10">
        <v>52.233400000000003</v>
      </c>
      <c r="FZ16" s="10">
        <v>8.8600999999999992</v>
      </c>
      <c r="GA16" s="10">
        <v>5.4960000000000002E-2</v>
      </c>
      <c r="GB16" s="10">
        <v>0.23449999999999999</v>
      </c>
      <c r="GC16" s="10">
        <v>171.55690000000001</v>
      </c>
      <c r="GD16" s="10">
        <v>60.277299999999997</v>
      </c>
      <c r="GE16" s="10">
        <v>144.71619999999999</v>
      </c>
      <c r="GF16" s="10">
        <v>3.5379</v>
      </c>
      <c r="GG16" s="10">
        <v>4.9269999999999996</v>
      </c>
      <c r="GH16" s="10">
        <v>1.7438</v>
      </c>
      <c r="GI16" s="10">
        <v>0.38106000000000001</v>
      </c>
      <c r="GJ16" s="10">
        <v>84.703400000000002</v>
      </c>
      <c r="GK16" s="10">
        <v>42.915799999999997</v>
      </c>
      <c r="GL16" s="10">
        <v>7.7563000000000004</v>
      </c>
      <c r="GM16" s="10">
        <v>35.872500000000002</v>
      </c>
      <c r="GN16" s="10">
        <v>7.4002999999999997</v>
      </c>
      <c r="GO16" s="10">
        <v>2.1644999999999999</v>
      </c>
      <c r="GP16" s="10">
        <v>21.805499999999999</v>
      </c>
      <c r="GQ16" s="11"/>
      <c r="GR16" s="10">
        <v>0.40486</v>
      </c>
      <c r="GS16" s="10">
        <v>2.1984E-2</v>
      </c>
      <c r="GT16" s="10">
        <v>8.2355</v>
      </c>
      <c r="GU16" s="10">
        <v>4.7313999999999998</v>
      </c>
      <c r="GV16" s="10">
        <v>53.721899999999998</v>
      </c>
      <c r="GW16" s="10">
        <v>30.151299999999999</v>
      </c>
      <c r="GX16" s="11"/>
      <c r="GY16" s="11"/>
      <c r="GZ16" s="10">
        <v>1.3784000000000001</v>
      </c>
      <c r="HA16" s="10">
        <v>486.31619999999998</v>
      </c>
      <c r="HB16" s="10">
        <v>23.434899999999999</v>
      </c>
      <c r="HC16" s="10">
        <v>648.02639999999997</v>
      </c>
      <c r="HD16" s="10">
        <v>4558.4525999999996</v>
      </c>
      <c r="HE16" s="10">
        <v>6.0693999999999999</v>
      </c>
      <c r="HF16" s="10">
        <v>80.891900000000007</v>
      </c>
      <c r="HG16" s="10">
        <v>6.2288000000000003E-2</v>
      </c>
      <c r="HH16" s="10">
        <v>62.514099999999999</v>
      </c>
      <c r="HI16" s="10">
        <v>23.037199999999999</v>
      </c>
      <c r="HJ16" s="11"/>
      <c r="HK16" s="11"/>
      <c r="HL16" s="10">
        <v>1.4948999999999999</v>
      </c>
      <c r="HM16" s="10">
        <v>4.0613999999999999</v>
      </c>
      <c r="HN16" s="10">
        <v>8.2157999999999998</v>
      </c>
      <c r="HO16" s="10">
        <f t="shared" si="0"/>
        <v>15638.933892000005</v>
      </c>
      <c r="HP16" s="10">
        <f t="shared" si="1"/>
        <v>15.638933892000004</v>
      </c>
      <c r="HQ16" s="10">
        <f t="shared" si="2"/>
        <v>4.2647760818107461</v>
      </c>
      <c r="HR16" s="11"/>
      <c r="HS16" s="11"/>
      <c r="HT16" s="11"/>
      <c r="HU16" s="11"/>
      <c r="HV16" s="11"/>
      <c r="HW16" s="11"/>
    </row>
    <row r="17" spans="1:231" ht="19.95" customHeight="1">
      <c r="A17" s="8">
        <v>1973</v>
      </c>
      <c r="B17" s="9">
        <v>1.6355999999999999</v>
      </c>
      <c r="C17" s="10">
        <v>5.2872000000000003</v>
      </c>
      <c r="D17" s="10">
        <v>38.2774</v>
      </c>
      <c r="E17" s="11"/>
      <c r="F17" s="10">
        <v>4.8737000000000004</v>
      </c>
      <c r="G17" s="11"/>
      <c r="H17" s="10">
        <v>0.32976</v>
      </c>
      <c r="I17" s="10">
        <v>93.976100000000002</v>
      </c>
      <c r="J17" s="10">
        <v>13.8367</v>
      </c>
      <c r="K17" s="10">
        <v>0.86946000000000001</v>
      </c>
      <c r="L17" s="10">
        <v>170.82740000000001</v>
      </c>
      <c r="M17" s="10">
        <v>60.015799999999999</v>
      </c>
      <c r="N17" s="10">
        <v>39.606299999999997</v>
      </c>
      <c r="O17" s="10">
        <v>7.8627000000000002</v>
      </c>
      <c r="P17" s="10">
        <v>5.5179999999999998</v>
      </c>
      <c r="Q17" s="10">
        <v>4.5496999999999996</v>
      </c>
      <c r="R17" s="10">
        <v>0.47998000000000002</v>
      </c>
      <c r="S17" s="10">
        <v>86.571100000000001</v>
      </c>
      <c r="T17" s="10">
        <v>138.63939999999999</v>
      </c>
      <c r="U17" s="10">
        <v>0.14656</v>
      </c>
      <c r="V17" s="10">
        <v>0.38106000000000001</v>
      </c>
      <c r="W17" s="10">
        <v>0.42502000000000001</v>
      </c>
      <c r="X17" s="10">
        <v>3.6640000000000002E-3</v>
      </c>
      <c r="Y17" s="10">
        <v>3.4544999999999999</v>
      </c>
      <c r="Z17" s="10">
        <v>0.66154999999999997</v>
      </c>
      <c r="AA17" s="10">
        <v>12.8453</v>
      </c>
      <c r="AB17" s="10">
        <v>5.1296000000000001E-2</v>
      </c>
      <c r="AC17" s="10">
        <v>132.0196</v>
      </c>
      <c r="AD17" s="10">
        <v>2.5648000000000001E-2</v>
      </c>
      <c r="AE17" s="10">
        <v>9.9733999999999998</v>
      </c>
      <c r="AF17" s="10">
        <v>68.717299999999994</v>
      </c>
      <c r="AG17" s="10">
        <v>0.16854</v>
      </c>
      <c r="AH17" s="10">
        <v>7.3279999999999998E-2</v>
      </c>
      <c r="AI17" s="10">
        <v>0.12791</v>
      </c>
      <c r="AJ17" s="10">
        <v>0.89690999999999999</v>
      </c>
      <c r="AK17" s="10">
        <v>381.2647</v>
      </c>
      <c r="AL17" s="10">
        <v>6.2229E-2</v>
      </c>
      <c r="AM17" s="11"/>
      <c r="AN17" s="10">
        <v>0.16122</v>
      </c>
      <c r="AO17" s="10">
        <v>0.16122</v>
      </c>
      <c r="AP17" s="10">
        <v>27.585999999999999</v>
      </c>
      <c r="AQ17" s="10">
        <v>965.64660000000003</v>
      </c>
      <c r="AR17" s="10">
        <v>33.630800000000001</v>
      </c>
      <c r="AS17" s="10">
        <v>2.9312000000000001E-2</v>
      </c>
      <c r="AT17" s="10">
        <v>1.2201</v>
      </c>
      <c r="AU17" s="10">
        <v>1.0992E-2</v>
      </c>
      <c r="AV17" s="10">
        <v>2.0434000000000001</v>
      </c>
      <c r="AW17" s="10">
        <v>2.8761999999999999</v>
      </c>
      <c r="AX17" s="10">
        <v>13.9033</v>
      </c>
      <c r="AY17" s="10">
        <v>22.373699999999999</v>
      </c>
      <c r="AZ17" s="10">
        <v>12.5695</v>
      </c>
      <c r="BA17" s="10">
        <v>2.5034999999999998</v>
      </c>
      <c r="BB17" s="10">
        <v>164.1514</v>
      </c>
      <c r="BC17" s="10">
        <v>3.1892</v>
      </c>
      <c r="BD17" s="10">
        <v>59.221800000000002</v>
      </c>
      <c r="BE17" s="10">
        <v>0.17954000000000001</v>
      </c>
      <c r="BF17" s="10">
        <v>2.5648000000000001E-2</v>
      </c>
      <c r="BG17" s="10">
        <v>5.9589999999999996</v>
      </c>
      <c r="BH17" s="10">
        <v>5.2558999999999996</v>
      </c>
      <c r="BI17" s="10">
        <v>23.761099999999999</v>
      </c>
      <c r="BJ17" s="10">
        <v>1.9665999999999999</v>
      </c>
      <c r="BK17" s="10">
        <v>2.9312000000000001E-2</v>
      </c>
      <c r="BL17" s="11"/>
      <c r="BM17" s="10">
        <v>24.799299999999999</v>
      </c>
      <c r="BN17" s="10">
        <v>1.7508999999999999</v>
      </c>
      <c r="BO17" s="10">
        <v>0.25281999999999999</v>
      </c>
      <c r="BP17" s="11"/>
      <c r="BQ17" s="10">
        <v>0.62985000000000002</v>
      </c>
      <c r="BR17" s="10">
        <v>49.3202</v>
      </c>
      <c r="BS17" s="10">
        <v>517.54229999999995</v>
      </c>
      <c r="BT17" s="11"/>
      <c r="BU17" s="10">
        <v>0.20885000000000001</v>
      </c>
      <c r="BV17" s="10">
        <v>5.3090999999999999</v>
      </c>
      <c r="BW17" s="10">
        <v>6.2288000000000003E-2</v>
      </c>
      <c r="BX17" s="10">
        <v>21.087599999999998</v>
      </c>
      <c r="BY17" s="10">
        <v>1085.7363</v>
      </c>
      <c r="BZ17" s="10">
        <v>2.4714</v>
      </c>
      <c r="CA17" s="11"/>
      <c r="CB17" s="10">
        <v>37.131100000000004</v>
      </c>
      <c r="CC17" s="10">
        <v>0.55693000000000004</v>
      </c>
      <c r="CD17" s="10">
        <v>5.4960000000000002E-2</v>
      </c>
      <c r="CE17" s="11"/>
      <c r="CF17" s="10">
        <v>2.9336000000000002</v>
      </c>
      <c r="CG17" s="10">
        <v>0.80242000000000002</v>
      </c>
      <c r="CH17" s="10">
        <v>0.10992</v>
      </c>
      <c r="CI17" s="10">
        <v>1.8027</v>
      </c>
      <c r="CJ17" s="10">
        <v>0.42091000000000001</v>
      </c>
      <c r="CK17" s="10">
        <v>1.5085999999999999</v>
      </c>
      <c r="CL17" s="10">
        <v>9.2865000000000002</v>
      </c>
      <c r="CM17" s="10">
        <v>72.981700000000004</v>
      </c>
      <c r="CN17" s="10">
        <v>1.7497</v>
      </c>
      <c r="CO17" s="10">
        <v>209.3536</v>
      </c>
      <c r="CP17" s="10">
        <v>49.098100000000002</v>
      </c>
      <c r="CQ17" s="10">
        <v>129.4753</v>
      </c>
      <c r="CR17" s="10">
        <v>30.6127</v>
      </c>
      <c r="CS17" s="10">
        <v>22.8462</v>
      </c>
      <c r="CT17" s="10">
        <v>19.261099999999999</v>
      </c>
      <c r="CU17" s="10">
        <v>353.3492</v>
      </c>
      <c r="CV17" s="10">
        <v>8.2904</v>
      </c>
      <c r="CW17" s="10">
        <v>914.26570000000004</v>
      </c>
      <c r="CX17" s="10">
        <v>2.1996000000000002</v>
      </c>
      <c r="CY17" s="10">
        <v>173.91720000000001</v>
      </c>
      <c r="CZ17" s="10">
        <v>3.9136000000000002</v>
      </c>
      <c r="DA17" s="10">
        <v>3.6639999999999999E-2</v>
      </c>
      <c r="DB17" s="11"/>
      <c r="DC17" s="10">
        <v>24.2227</v>
      </c>
      <c r="DD17" s="10">
        <v>16.0581</v>
      </c>
      <c r="DE17" s="10">
        <v>0.51661999999999997</v>
      </c>
      <c r="DF17" s="10">
        <v>12.7799</v>
      </c>
      <c r="DG17" s="10">
        <v>7.0667</v>
      </c>
      <c r="DH17" s="11"/>
      <c r="DI17" s="10">
        <v>1.4799</v>
      </c>
      <c r="DJ17" s="10">
        <v>14.575100000000001</v>
      </c>
      <c r="DK17" s="11"/>
      <c r="DL17" s="10">
        <v>23.940100000000001</v>
      </c>
      <c r="DM17" s="10">
        <v>14.1782</v>
      </c>
      <c r="DN17" s="10">
        <v>0.2235</v>
      </c>
      <c r="DO17" s="10">
        <v>1.0732999999999999</v>
      </c>
      <c r="DP17" s="10">
        <v>0.57123000000000002</v>
      </c>
      <c r="DQ17" s="10">
        <v>17.505099999999999</v>
      </c>
      <c r="DR17" s="10">
        <v>3.6640000000000002E-3</v>
      </c>
      <c r="DS17" s="10">
        <v>0.26729000000000003</v>
      </c>
      <c r="DT17" s="10">
        <v>0.80608000000000002</v>
      </c>
      <c r="DU17" s="11"/>
      <c r="DV17" s="11"/>
      <c r="DW17" s="10">
        <v>0.46899000000000002</v>
      </c>
      <c r="DX17" s="10">
        <v>0.67784</v>
      </c>
      <c r="DY17" s="10">
        <v>144.07169999999999</v>
      </c>
      <c r="DZ17" s="11"/>
      <c r="EA17" s="10">
        <v>20.742000000000001</v>
      </c>
      <c r="EB17" s="10">
        <v>3.4721000000000002</v>
      </c>
      <c r="EC17" s="10">
        <v>1.2677</v>
      </c>
      <c r="ED17" s="10">
        <v>1.4656000000000001E-2</v>
      </c>
      <c r="EE17" s="10">
        <v>9.6258999999999997</v>
      </c>
      <c r="EF17" s="10">
        <v>3.5589</v>
      </c>
      <c r="EG17" s="10">
        <v>4.1066000000000003</v>
      </c>
      <c r="EH17" s="11"/>
      <c r="EI17" s="10">
        <v>8.4272E-2</v>
      </c>
      <c r="EJ17" s="10">
        <v>0.42136000000000001</v>
      </c>
      <c r="EK17" s="10">
        <v>165.25989999999999</v>
      </c>
      <c r="EL17" s="10">
        <v>2.5975999999999999</v>
      </c>
      <c r="EM17" s="10">
        <v>18.200399999999998</v>
      </c>
      <c r="EN17" s="10">
        <v>1.8275999999999999</v>
      </c>
      <c r="EO17" s="10">
        <v>0.32945999999999998</v>
      </c>
      <c r="EP17" s="10">
        <v>49.532299999999999</v>
      </c>
      <c r="EQ17" s="10">
        <v>3.6640000000000002E-3</v>
      </c>
      <c r="ER17" s="10">
        <v>97.325299999999999</v>
      </c>
      <c r="ES17" s="10">
        <v>9.3885000000000005</v>
      </c>
      <c r="ET17" s="10">
        <v>30.4923</v>
      </c>
      <c r="EU17" s="11"/>
      <c r="EV17" s="10">
        <v>2.1105</v>
      </c>
      <c r="EW17" s="10">
        <v>20.008500000000002</v>
      </c>
      <c r="EX17" s="11"/>
      <c r="EY17" s="10">
        <v>3.2372000000000001</v>
      </c>
      <c r="EZ17" s="10">
        <v>1.3447</v>
      </c>
      <c r="FA17" s="10">
        <v>0.86746999999999996</v>
      </c>
      <c r="FB17" s="10">
        <v>19.732099999999999</v>
      </c>
      <c r="FC17" s="10">
        <v>31.501300000000001</v>
      </c>
      <c r="FD17" s="10">
        <v>335.59</v>
      </c>
      <c r="FE17" s="10">
        <v>19.9451</v>
      </c>
      <c r="FF17" s="10">
        <v>12.4572</v>
      </c>
      <c r="FG17" s="10">
        <v>0.45157999999999998</v>
      </c>
      <c r="FH17" s="11"/>
      <c r="FI17" s="10">
        <v>144.76499999999999</v>
      </c>
      <c r="FJ17" s="10">
        <v>1678.9147</v>
      </c>
      <c r="FK17" s="10">
        <v>6.9615999999999997E-2</v>
      </c>
      <c r="FL17" s="11"/>
      <c r="FM17" s="11"/>
      <c r="FN17" s="10">
        <v>8.0607999999999999E-2</v>
      </c>
      <c r="FO17" s="10">
        <v>4.0304E-2</v>
      </c>
      <c r="FP17" s="10">
        <v>4.0304E-2</v>
      </c>
      <c r="FQ17" s="10">
        <v>3.6639999999999999E-2</v>
      </c>
      <c r="FR17" s="10">
        <v>1.4656000000000001E-2</v>
      </c>
      <c r="FS17" s="10">
        <v>95.0535</v>
      </c>
      <c r="FT17" s="10">
        <v>1.5487</v>
      </c>
      <c r="FU17" s="10">
        <v>37.341999999999999</v>
      </c>
      <c r="FV17" s="10">
        <v>4.7632000000000001E-2</v>
      </c>
      <c r="FW17" s="10">
        <v>0.53861000000000003</v>
      </c>
      <c r="FX17" s="10">
        <v>21.199400000000001</v>
      </c>
      <c r="FY17" s="10">
        <v>52.451500000000003</v>
      </c>
      <c r="FZ17" s="10">
        <v>10.5855</v>
      </c>
      <c r="GA17" s="10">
        <v>6.5951999999999997E-2</v>
      </c>
      <c r="GB17" s="10">
        <v>0.26380999999999999</v>
      </c>
      <c r="GC17" s="10">
        <v>173.3578</v>
      </c>
      <c r="GD17" s="10">
        <v>73.031899999999993</v>
      </c>
      <c r="GE17" s="10">
        <v>154.9572</v>
      </c>
      <c r="GF17" s="10">
        <v>3.6842999999999999</v>
      </c>
      <c r="GG17" s="10">
        <v>4.9705000000000004</v>
      </c>
      <c r="GH17" s="10">
        <v>2.1065999999999998</v>
      </c>
      <c r="GI17" s="10">
        <v>0.37006</v>
      </c>
      <c r="GJ17" s="10">
        <v>87.2898</v>
      </c>
      <c r="GK17" s="10">
        <v>46.202399999999997</v>
      </c>
      <c r="GL17" s="10">
        <v>7.8852000000000002</v>
      </c>
      <c r="GM17" s="10">
        <v>40.246400000000001</v>
      </c>
      <c r="GN17" s="10">
        <v>7.7142999999999997</v>
      </c>
      <c r="GO17" s="10">
        <v>3.1827000000000001</v>
      </c>
      <c r="GP17" s="10">
        <v>24.420200000000001</v>
      </c>
      <c r="GQ17" s="11"/>
      <c r="GR17" s="10">
        <v>0.41150999999999999</v>
      </c>
      <c r="GS17" s="10">
        <v>2.5648000000000001E-2</v>
      </c>
      <c r="GT17" s="10">
        <v>9.3897999999999993</v>
      </c>
      <c r="GU17" s="10">
        <v>4.8234000000000004</v>
      </c>
      <c r="GV17" s="10">
        <v>59.31</v>
      </c>
      <c r="GW17" s="10">
        <v>31.430299999999999</v>
      </c>
      <c r="GX17" s="11"/>
      <c r="GY17" s="11"/>
      <c r="GZ17" s="10">
        <v>1.1763999999999999</v>
      </c>
      <c r="HA17" s="10">
        <v>506.81400000000002</v>
      </c>
      <c r="HB17" s="10">
        <v>30.605399999999999</v>
      </c>
      <c r="HC17" s="10">
        <v>659.57730000000004</v>
      </c>
      <c r="HD17" s="10">
        <v>4762.4521999999997</v>
      </c>
      <c r="HE17" s="10">
        <v>5.7686999999999999</v>
      </c>
      <c r="HF17" s="10">
        <v>84.258600000000001</v>
      </c>
      <c r="HG17" s="10">
        <v>5.4960000000000002E-2</v>
      </c>
      <c r="HH17" s="10">
        <v>66.432900000000004</v>
      </c>
      <c r="HI17" s="10">
        <v>25.0733</v>
      </c>
      <c r="HJ17" s="11"/>
      <c r="HK17" s="11"/>
      <c r="HL17" s="10">
        <v>2.7296</v>
      </c>
      <c r="HM17" s="10">
        <v>4.5857000000000001</v>
      </c>
      <c r="HN17" s="10">
        <v>9.2708999999999993</v>
      </c>
      <c r="HO17" s="10">
        <f t="shared" si="0"/>
        <v>16470.689985000001</v>
      </c>
      <c r="HP17" s="10">
        <f t="shared" si="1"/>
        <v>16.470689985</v>
      </c>
      <c r="HQ17" s="10">
        <f t="shared" si="2"/>
        <v>4.4915980324515958</v>
      </c>
      <c r="HR17" s="11"/>
      <c r="HS17" s="11"/>
      <c r="HT17" s="11"/>
      <c r="HU17" s="11"/>
      <c r="HV17" s="11"/>
      <c r="HW17" s="11"/>
    </row>
    <row r="18" spans="1:231" ht="19.95" customHeight="1">
      <c r="A18" s="8">
        <v>1974</v>
      </c>
      <c r="B18" s="9">
        <v>1.9133</v>
      </c>
      <c r="C18" s="10">
        <v>4.3418000000000001</v>
      </c>
      <c r="D18" s="10">
        <v>31.8767</v>
      </c>
      <c r="E18" s="11"/>
      <c r="F18" s="10">
        <v>4.8663999999999996</v>
      </c>
      <c r="G18" s="11"/>
      <c r="H18" s="10">
        <v>0.42869000000000002</v>
      </c>
      <c r="I18" s="10">
        <v>95.480599999999995</v>
      </c>
      <c r="J18" s="10">
        <v>14.368399999999999</v>
      </c>
      <c r="K18" s="10">
        <v>0.78808</v>
      </c>
      <c r="L18" s="10">
        <v>172.18940000000001</v>
      </c>
      <c r="M18" s="10">
        <v>57.294499999999999</v>
      </c>
      <c r="N18" s="10">
        <v>41.119900000000001</v>
      </c>
      <c r="O18" s="10">
        <v>7.3798000000000004</v>
      </c>
      <c r="P18" s="10">
        <v>5.4006999999999996</v>
      </c>
      <c r="Q18" s="10">
        <v>4.6531000000000002</v>
      </c>
      <c r="R18" s="10">
        <v>0.49098000000000003</v>
      </c>
      <c r="S18" s="10">
        <v>89.865300000000005</v>
      </c>
      <c r="T18" s="10">
        <v>134.9504</v>
      </c>
      <c r="U18" s="10">
        <v>0.15389</v>
      </c>
      <c r="V18" s="10">
        <v>0.40670000000000001</v>
      </c>
      <c r="W18" s="10">
        <v>0.44334000000000001</v>
      </c>
      <c r="X18" s="10">
        <v>3.6640000000000002E-3</v>
      </c>
      <c r="Y18" s="10">
        <v>3.5129000000000001</v>
      </c>
      <c r="Z18" s="10">
        <v>0.59963</v>
      </c>
      <c r="AA18" s="10">
        <v>12.900700000000001</v>
      </c>
      <c r="AB18" s="10">
        <v>8.7936E-2</v>
      </c>
      <c r="AC18" s="10">
        <v>142.9273</v>
      </c>
      <c r="AD18" s="10">
        <v>2.5648000000000001E-2</v>
      </c>
      <c r="AE18" s="10">
        <v>8.1780000000000008</v>
      </c>
      <c r="AF18" s="10">
        <v>71.136499999999998</v>
      </c>
      <c r="AG18" s="10">
        <v>0.20518</v>
      </c>
      <c r="AH18" s="10">
        <v>9.1600000000000001E-2</v>
      </c>
      <c r="AI18" s="10">
        <v>7.3071999999999998E-2</v>
      </c>
      <c r="AJ18" s="10">
        <v>0.97375999999999996</v>
      </c>
      <c r="AK18" s="10">
        <v>389.60520000000002</v>
      </c>
      <c r="AL18" s="10">
        <v>6.5951999999999997E-2</v>
      </c>
      <c r="AM18" s="11"/>
      <c r="AN18" s="10">
        <v>0.11358</v>
      </c>
      <c r="AO18" s="10">
        <v>0.15021999999999999</v>
      </c>
      <c r="AP18" s="10">
        <v>25.874600000000001</v>
      </c>
      <c r="AQ18" s="10">
        <v>985.08519999999999</v>
      </c>
      <c r="AR18" s="10">
        <v>36.394399999999997</v>
      </c>
      <c r="AS18" s="10">
        <v>2.9312000000000001E-2</v>
      </c>
      <c r="AT18" s="10">
        <v>1.6232</v>
      </c>
      <c r="AU18" s="10">
        <v>1.0992E-2</v>
      </c>
      <c r="AV18" s="10">
        <v>1.9040999999999999</v>
      </c>
      <c r="AW18" s="10">
        <v>3.2425999999999999</v>
      </c>
      <c r="AX18" s="10">
        <v>13.958399999999999</v>
      </c>
      <c r="AY18" s="10">
        <v>22.885300000000001</v>
      </c>
      <c r="AZ18" s="10">
        <v>11.393000000000001</v>
      </c>
      <c r="BA18" s="10">
        <v>1.9287000000000001</v>
      </c>
      <c r="BB18" s="10">
        <v>166.02889999999999</v>
      </c>
      <c r="BC18" s="10">
        <v>3.3647</v>
      </c>
      <c r="BD18" s="10">
        <v>55.041499999999999</v>
      </c>
      <c r="BE18" s="10">
        <v>0.19419</v>
      </c>
      <c r="BF18" s="10">
        <v>2.9312000000000001E-2</v>
      </c>
      <c r="BG18" s="10">
        <v>6.4096000000000002</v>
      </c>
      <c r="BH18" s="10">
        <v>6.0835999999999997</v>
      </c>
      <c r="BI18" s="10">
        <v>26.089099999999998</v>
      </c>
      <c r="BJ18" s="10">
        <v>1.97</v>
      </c>
      <c r="BK18" s="10">
        <v>5.1296000000000001E-2</v>
      </c>
      <c r="BL18" s="11"/>
      <c r="BM18" s="10">
        <v>25.7348</v>
      </c>
      <c r="BN18" s="10">
        <v>1.7363</v>
      </c>
      <c r="BO18" s="10">
        <v>0.30044999999999999</v>
      </c>
      <c r="BP18" s="11"/>
      <c r="BQ18" s="10">
        <v>0.67018999999999995</v>
      </c>
      <c r="BR18" s="10">
        <v>46.608499999999999</v>
      </c>
      <c r="BS18" s="10">
        <v>499.96839999999997</v>
      </c>
      <c r="BT18" s="11"/>
      <c r="BU18" s="10">
        <v>0.21618000000000001</v>
      </c>
      <c r="BV18" s="10">
        <v>5.4484000000000004</v>
      </c>
      <c r="BW18" s="10">
        <v>6.2288000000000003E-2</v>
      </c>
      <c r="BX18" s="10">
        <v>21.8949</v>
      </c>
      <c r="BY18" s="10">
        <v>1062.7243000000001</v>
      </c>
      <c r="BZ18" s="10">
        <v>2.9327999999999999</v>
      </c>
      <c r="CA18" s="11"/>
      <c r="CB18" s="10">
        <v>36.061700000000002</v>
      </c>
      <c r="CC18" s="10">
        <v>0.55693000000000004</v>
      </c>
      <c r="CD18" s="10">
        <v>3.6639999999999999E-2</v>
      </c>
      <c r="CE18" s="11"/>
      <c r="CF18" s="10">
        <v>3.0655000000000001</v>
      </c>
      <c r="CG18" s="10">
        <v>0.83906000000000003</v>
      </c>
      <c r="CH18" s="10">
        <v>0.10259</v>
      </c>
      <c r="CI18" s="10">
        <v>1.5535000000000001</v>
      </c>
      <c r="CJ18" s="10">
        <v>0.47209000000000001</v>
      </c>
      <c r="CK18" s="10">
        <v>1.5563</v>
      </c>
      <c r="CL18" s="10">
        <v>10.667299999999999</v>
      </c>
      <c r="CM18" s="10">
        <v>74.010199999999998</v>
      </c>
      <c r="CN18" s="10">
        <v>1.738</v>
      </c>
      <c r="CO18" s="10">
        <v>216.12649999999999</v>
      </c>
      <c r="CP18" s="10">
        <v>51.226500000000001</v>
      </c>
      <c r="CQ18" s="10">
        <v>143.77539999999999</v>
      </c>
      <c r="CR18" s="10">
        <v>30.909500000000001</v>
      </c>
      <c r="CS18" s="10">
        <v>23.292999999999999</v>
      </c>
      <c r="CT18" s="10">
        <v>19.3689</v>
      </c>
      <c r="CU18" s="10">
        <v>358.25310000000002</v>
      </c>
      <c r="CV18" s="10">
        <v>7.5944000000000003</v>
      </c>
      <c r="CW18" s="10">
        <v>914.30679999999995</v>
      </c>
      <c r="CX18" s="10">
        <v>2.2252999999999998</v>
      </c>
      <c r="CY18" s="10">
        <v>180.45660000000001</v>
      </c>
      <c r="CZ18" s="10">
        <v>4.9429999999999996</v>
      </c>
      <c r="DA18" s="10">
        <v>3.2975999999999998E-2</v>
      </c>
      <c r="DB18" s="11"/>
      <c r="DC18" s="10">
        <v>19.312000000000001</v>
      </c>
      <c r="DD18" s="10">
        <v>16.673200000000001</v>
      </c>
      <c r="DE18" s="10">
        <v>0.29311999999999999</v>
      </c>
      <c r="DF18" s="10">
        <v>13.2727</v>
      </c>
      <c r="DG18" s="10">
        <v>7.0879000000000003</v>
      </c>
      <c r="DH18" s="11"/>
      <c r="DI18" s="10">
        <v>1.7217</v>
      </c>
      <c r="DJ18" s="10">
        <v>9.3376000000000001</v>
      </c>
      <c r="DK18" s="11"/>
      <c r="DL18" s="10">
        <v>24.884699999999999</v>
      </c>
      <c r="DM18" s="10">
        <v>14.427899999999999</v>
      </c>
      <c r="DN18" s="10">
        <v>0.26746999999999999</v>
      </c>
      <c r="DO18" s="10">
        <v>1.1869000000000001</v>
      </c>
      <c r="DP18" s="10">
        <v>0.54923999999999995</v>
      </c>
      <c r="DQ18" s="10">
        <v>19.044599999999999</v>
      </c>
      <c r="DR18" s="10">
        <v>3.6640000000000002E-3</v>
      </c>
      <c r="DS18" s="10">
        <v>0.30392999999999998</v>
      </c>
      <c r="DT18" s="10">
        <v>0.74378999999999995</v>
      </c>
      <c r="DU18" s="11"/>
      <c r="DV18" s="11"/>
      <c r="DW18" s="10">
        <v>0.48365000000000002</v>
      </c>
      <c r="DX18" s="10">
        <v>0.6925</v>
      </c>
      <c r="DY18" s="10">
        <v>154.7465</v>
      </c>
      <c r="DZ18" s="11"/>
      <c r="EA18" s="10">
        <v>21.5335</v>
      </c>
      <c r="EB18" s="10">
        <v>3.7408000000000001</v>
      </c>
      <c r="EC18" s="10">
        <v>1.2733000000000001</v>
      </c>
      <c r="ED18" s="10">
        <v>1.4656000000000001E-2</v>
      </c>
      <c r="EE18" s="10">
        <v>11.1195</v>
      </c>
      <c r="EF18" s="10">
        <v>3.1455000000000002</v>
      </c>
      <c r="EG18" s="10">
        <v>4.6708999999999996</v>
      </c>
      <c r="EH18" s="11"/>
      <c r="EI18" s="10">
        <v>9.8928000000000002E-2</v>
      </c>
      <c r="EJ18" s="10">
        <v>0.42487999999999998</v>
      </c>
      <c r="EK18" s="10">
        <v>159.98519999999999</v>
      </c>
      <c r="EL18" s="10">
        <v>2.7806999999999999</v>
      </c>
      <c r="EM18" s="10">
        <v>18.760000000000002</v>
      </c>
      <c r="EN18" s="10">
        <v>1.9482999999999999</v>
      </c>
      <c r="EO18" s="10">
        <v>0.28937000000000002</v>
      </c>
      <c r="EP18" s="10">
        <v>62.235500000000002</v>
      </c>
      <c r="EQ18" s="10">
        <v>3.6640000000000002E-3</v>
      </c>
      <c r="ER18" s="10">
        <v>101.61150000000001</v>
      </c>
      <c r="ES18" s="10">
        <v>9.4296000000000006</v>
      </c>
      <c r="ET18" s="10">
        <v>27.7057</v>
      </c>
      <c r="EU18" s="11"/>
      <c r="EV18" s="10">
        <v>2.3340000000000001</v>
      </c>
      <c r="EW18" s="10">
        <v>21.3874</v>
      </c>
      <c r="EX18" s="11"/>
      <c r="EY18" s="10">
        <v>3.0175000000000001</v>
      </c>
      <c r="EZ18" s="10">
        <v>1.5865</v>
      </c>
      <c r="FA18" s="10">
        <v>0.95111000000000001</v>
      </c>
      <c r="FB18" s="10">
        <v>21.335100000000001</v>
      </c>
      <c r="FC18" s="10">
        <v>30.4923</v>
      </c>
      <c r="FD18" s="10">
        <v>346.23660000000001</v>
      </c>
      <c r="FE18" s="10">
        <v>20.645</v>
      </c>
      <c r="FF18" s="10">
        <v>10.4785</v>
      </c>
      <c r="FG18" s="10">
        <v>0.47294000000000003</v>
      </c>
      <c r="FH18" s="11"/>
      <c r="FI18" s="10">
        <v>150.72030000000001</v>
      </c>
      <c r="FJ18" s="10">
        <v>1742.9339</v>
      </c>
      <c r="FK18" s="10">
        <v>7.3279999999999998E-2</v>
      </c>
      <c r="FL18" s="11"/>
      <c r="FM18" s="11"/>
      <c r="FN18" s="10">
        <v>7.3279999999999998E-2</v>
      </c>
      <c r="FO18" s="10">
        <v>4.3968E-2</v>
      </c>
      <c r="FP18" s="10">
        <v>3.2975999999999998E-2</v>
      </c>
      <c r="FQ18" s="10">
        <v>3.2975999999999998E-2</v>
      </c>
      <c r="FR18" s="10">
        <v>1.8319999999999999E-2</v>
      </c>
      <c r="FS18" s="10">
        <v>98.701800000000006</v>
      </c>
      <c r="FT18" s="10">
        <v>1.849</v>
      </c>
      <c r="FU18" s="10">
        <v>37.494300000000003</v>
      </c>
      <c r="FV18" s="10">
        <v>5.4960000000000002E-2</v>
      </c>
      <c r="FW18" s="10">
        <v>0.52029000000000003</v>
      </c>
      <c r="FX18" s="10">
        <v>21.9468</v>
      </c>
      <c r="FY18" s="10">
        <v>53.064500000000002</v>
      </c>
      <c r="FZ18" s="10">
        <v>10.6234</v>
      </c>
      <c r="GA18" s="10">
        <v>6.5951999999999997E-2</v>
      </c>
      <c r="GB18" s="10">
        <v>0.32976</v>
      </c>
      <c r="GC18" s="10">
        <v>176.5523</v>
      </c>
      <c r="GD18" s="10">
        <v>75.633099999999999</v>
      </c>
      <c r="GE18" s="10">
        <v>172.66560000000001</v>
      </c>
      <c r="GF18" s="10">
        <v>2.9293</v>
      </c>
      <c r="GG18" s="10">
        <v>5.2053000000000003</v>
      </c>
      <c r="GH18" s="10">
        <v>1.601</v>
      </c>
      <c r="GI18" s="10">
        <v>0.31143999999999999</v>
      </c>
      <c r="GJ18" s="10">
        <v>79.823099999999997</v>
      </c>
      <c r="GK18" s="10">
        <v>41.4268</v>
      </c>
      <c r="GL18" s="10">
        <v>9.6544000000000008</v>
      </c>
      <c r="GM18" s="10">
        <v>39.311799999999998</v>
      </c>
      <c r="GN18" s="10">
        <v>8.0097000000000005</v>
      </c>
      <c r="GO18" s="10">
        <v>2.3035000000000001</v>
      </c>
      <c r="GP18" s="10">
        <v>24.2105</v>
      </c>
      <c r="GQ18" s="11"/>
      <c r="GR18" s="10">
        <v>0.39027000000000001</v>
      </c>
      <c r="GS18" s="10">
        <v>2.1984E-2</v>
      </c>
      <c r="GT18" s="10">
        <v>10.042</v>
      </c>
      <c r="GU18" s="10">
        <v>5.3912000000000004</v>
      </c>
      <c r="GV18" s="10">
        <v>60.928699999999999</v>
      </c>
      <c r="GW18" s="10">
        <v>32.633099999999999</v>
      </c>
      <c r="GX18" s="11"/>
      <c r="GY18" s="11"/>
      <c r="GZ18" s="10">
        <v>1.1897</v>
      </c>
      <c r="HA18" s="10">
        <v>526.06870000000004</v>
      </c>
      <c r="HB18" s="10">
        <v>31.301600000000001</v>
      </c>
      <c r="HC18" s="10">
        <v>617.18389999999999</v>
      </c>
      <c r="HD18" s="10">
        <v>4592.9583000000002</v>
      </c>
      <c r="HE18" s="10">
        <v>5.6769999999999996</v>
      </c>
      <c r="HF18" s="10">
        <v>87.416300000000007</v>
      </c>
      <c r="HG18" s="10">
        <v>6.2288000000000003E-2</v>
      </c>
      <c r="HH18" s="10">
        <v>75.057599999999994</v>
      </c>
      <c r="HI18" s="10">
        <v>19.064599999999999</v>
      </c>
      <c r="HJ18" s="11"/>
      <c r="HK18" s="11"/>
      <c r="HL18" s="10">
        <v>2.2458</v>
      </c>
      <c r="HM18" s="10">
        <v>4.1971999999999996</v>
      </c>
      <c r="HN18" s="10">
        <v>9.0470000000000006</v>
      </c>
      <c r="HO18" s="10">
        <f t="shared" si="0"/>
        <v>16433.960474000003</v>
      </c>
      <c r="HP18" s="10">
        <f t="shared" si="1"/>
        <v>16.433960474000003</v>
      </c>
      <c r="HQ18" s="10">
        <f t="shared" si="2"/>
        <v>4.4815818036542145</v>
      </c>
      <c r="HR18" s="11"/>
      <c r="HS18" s="11"/>
      <c r="HT18" s="11"/>
      <c r="HU18" s="11"/>
      <c r="HV18" s="11"/>
      <c r="HW18" s="11"/>
    </row>
    <row r="19" spans="1:231" ht="19.95" customHeight="1">
      <c r="A19" s="8">
        <v>1975</v>
      </c>
      <c r="B19" s="9">
        <v>2.1215999999999999</v>
      </c>
      <c r="C19" s="10">
        <v>4.5910000000000002</v>
      </c>
      <c r="D19" s="10">
        <v>32.001199999999997</v>
      </c>
      <c r="E19" s="11"/>
      <c r="F19" s="10">
        <v>4.4088000000000003</v>
      </c>
      <c r="G19" s="11"/>
      <c r="H19" s="10">
        <v>0.70714999999999995</v>
      </c>
      <c r="I19" s="10">
        <v>94.845799999999997</v>
      </c>
      <c r="J19" s="10">
        <v>15.1083</v>
      </c>
      <c r="K19" s="10">
        <v>0.57071000000000005</v>
      </c>
      <c r="L19" s="10">
        <v>175.7139</v>
      </c>
      <c r="M19" s="10">
        <v>54.214100000000002</v>
      </c>
      <c r="N19" s="10">
        <v>43.228400000000001</v>
      </c>
      <c r="O19" s="10">
        <v>8.2461000000000002</v>
      </c>
      <c r="P19" s="10">
        <v>5.7488000000000001</v>
      </c>
      <c r="Q19" s="10">
        <v>4.8567</v>
      </c>
      <c r="R19" s="10">
        <v>0.56791999999999998</v>
      </c>
      <c r="S19" s="10">
        <v>94.457800000000006</v>
      </c>
      <c r="T19" s="10">
        <v>121.82340000000001</v>
      </c>
      <c r="U19" s="10">
        <v>0.17587</v>
      </c>
      <c r="V19" s="10">
        <v>0.44334000000000001</v>
      </c>
      <c r="W19" s="10">
        <v>0.45800000000000002</v>
      </c>
      <c r="X19" s="10">
        <v>3.6640000000000002E-3</v>
      </c>
      <c r="Y19" s="10">
        <v>4.0549999999999997</v>
      </c>
      <c r="Z19" s="10">
        <v>0.43424000000000001</v>
      </c>
      <c r="AA19" s="10">
        <v>13.4603</v>
      </c>
      <c r="AB19" s="10">
        <v>0.18686</v>
      </c>
      <c r="AC19" s="10">
        <v>150.5137</v>
      </c>
      <c r="AD19" s="10">
        <v>2.5648000000000001E-2</v>
      </c>
      <c r="AE19" s="10">
        <v>7.0751999999999997</v>
      </c>
      <c r="AF19" s="10">
        <v>72.922200000000004</v>
      </c>
      <c r="AG19" s="10">
        <v>0.21984000000000001</v>
      </c>
      <c r="AH19" s="10">
        <v>7.6943999999999999E-2</v>
      </c>
      <c r="AI19" s="10">
        <v>7.3071999999999998E-2</v>
      </c>
      <c r="AJ19" s="10">
        <v>1.1605000000000001</v>
      </c>
      <c r="AK19" s="10">
        <v>396.77269999999999</v>
      </c>
      <c r="AL19" s="10">
        <v>7.6943999999999999E-2</v>
      </c>
      <c r="AM19" s="11"/>
      <c r="AN19" s="10">
        <v>0.10259</v>
      </c>
      <c r="AO19" s="10">
        <v>0.1832</v>
      </c>
      <c r="AP19" s="10">
        <v>22.9437</v>
      </c>
      <c r="AQ19" s="10">
        <v>1142.1018999999999</v>
      </c>
      <c r="AR19" s="10">
        <v>35.808999999999997</v>
      </c>
      <c r="AS19" s="10">
        <v>3.2975999999999998E-2</v>
      </c>
      <c r="AT19" s="10">
        <v>1.0992</v>
      </c>
      <c r="AU19" s="10">
        <v>1.4656000000000001E-2</v>
      </c>
      <c r="AV19" s="10">
        <v>2.0358000000000001</v>
      </c>
      <c r="AW19" s="10">
        <v>3.9864000000000002</v>
      </c>
      <c r="AX19" s="10">
        <v>14.5586</v>
      </c>
      <c r="AY19" s="10">
        <v>27.035599999999999</v>
      </c>
      <c r="AZ19" s="10">
        <v>8.2506000000000004</v>
      </c>
      <c r="BA19" s="10">
        <v>1.9905999999999999</v>
      </c>
      <c r="BB19" s="10">
        <v>173.70070000000001</v>
      </c>
      <c r="BC19" s="10">
        <v>3.2328000000000001</v>
      </c>
      <c r="BD19" s="10">
        <v>55.744599999999998</v>
      </c>
      <c r="BE19" s="10">
        <v>0.19786000000000001</v>
      </c>
      <c r="BF19" s="10">
        <v>2.9312000000000001E-2</v>
      </c>
      <c r="BG19" s="10">
        <v>6.3327</v>
      </c>
      <c r="BH19" s="10">
        <v>7.3548999999999998</v>
      </c>
      <c r="BI19" s="10">
        <v>31.059899999999999</v>
      </c>
      <c r="BJ19" s="10">
        <v>2.1055000000000001</v>
      </c>
      <c r="BK19" s="10">
        <v>6.2288000000000003E-2</v>
      </c>
      <c r="BL19" s="11"/>
      <c r="BM19" s="10">
        <v>27.051300000000001</v>
      </c>
      <c r="BN19" s="10">
        <v>1.2084999999999999</v>
      </c>
      <c r="BO19" s="10">
        <v>0.34808</v>
      </c>
      <c r="BP19" s="11"/>
      <c r="BQ19" s="10">
        <v>0.62258000000000002</v>
      </c>
      <c r="BR19" s="10">
        <v>46.025799999999997</v>
      </c>
      <c r="BS19" s="10">
        <v>447.7482</v>
      </c>
      <c r="BT19" s="11"/>
      <c r="BU19" s="10">
        <v>0.21251</v>
      </c>
      <c r="BV19" s="10">
        <v>5.3640999999999996</v>
      </c>
      <c r="BW19" s="10">
        <v>9.8928000000000002E-2</v>
      </c>
      <c r="BX19" s="10">
        <v>23.018999999999998</v>
      </c>
      <c r="BY19" s="10">
        <v>1002.4439</v>
      </c>
      <c r="BZ19" s="10">
        <v>2.7416</v>
      </c>
      <c r="CA19" s="11"/>
      <c r="CB19" s="10">
        <v>38.669600000000003</v>
      </c>
      <c r="CC19" s="10">
        <v>0.50563000000000002</v>
      </c>
      <c r="CD19" s="10">
        <v>4.7632000000000001E-2</v>
      </c>
      <c r="CE19" s="11"/>
      <c r="CF19" s="10">
        <v>3.5194999999999999</v>
      </c>
      <c r="CG19" s="10">
        <v>0.84272000000000002</v>
      </c>
      <c r="CH19" s="10">
        <v>0.11358</v>
      </c>
      <c r="CI19" s="10">
        <v>1.8247</v>
      </c>
      <c r="CJ19" s="10">
        <v>0.48302</v>
      </c>
      <c r="CK19" s="10">
        <v>1.6658999999999999</v>
      </c>
      <c r="CL19" s="10">
        <v>11.007999999999999</v>
      </c>
      <c r="CM19" s="10">
        <v>75.288300000000007</v>
      </c>
      <c r="CN19" s="10">
        <v>1.6129</v>
      </c>
      <c r="CO19" s="10">
        <v>234.5119</v>
      </c>
      <c r="CP19" s="10">
        <v>53.932499999999997</v>
      </c>
      <c r="CQ19" s="10">
        <v>139.214</v>
      </c>
      <c r="CR19" s="10">
        <v>33.1203</v>
      </c>
      <c r="CS19" s="10">
        <v>22.0474</v>
      </c>
      <c r="CT19" s="10">
        <v>19.540400000000002</v>
      </c>
      <c r="CU19" s="10">
        <v>341.05259999999998</v>
      </c>
      <c r="CV19" s="10">
        <v>8.1807999999999996</v>
      </c>
      <c r="CW19" s="10">
        <v>868.51139999999998</v>
      </c>
      <c r="CX19" s="10">
        <v>2.4891999999999999</v>
      </c>
      <c r="CY19" s="10">
        <v>189.59530000000001</v>
      </c>
      <c r="CZ19" s="10">
        <v>4.9683999999999999</v>
      </c>
      <c r="DA19" s="10">
        <v>3.2975999999999998E-2</v>
      </c>
      <c r="DB19" s="11"/>
      <c r="DC19" s="10">
        <v>16.812899999999999</v>
      </c>
      <c r="DD19" s="10">
        <v>17.529499999999999</v>
      </c>
      <c r="DE19" s="10">
        <v>0.25281999999999999</v>
      </c>
      <c r="DF19" s="10">
        <v>13.9581</v>
      </c>
      <c r="DG19" s="10">
        <v>6.2651000000000003</v>
      </c>
      <c r="DH19" s="11"/>
      <c r="DI19" s="10">
        <v>1.4836</v>
      </c>
      <c r="DJ19" s="10">
        <v>11.5684</v>
      </c>
      <c r="DK19" s="11"/>
      <c r="DL19" s="10">
        <v>26.193100000000001</v>
      </c>
      <c r="DM19" s="10">
        <v>11.868499999999999</v>
      </c>
      <c r="DN19" s="10">
        <v>0.29677999999999999</v>
      </c>
      <c r="DO19" s="10">
        <v>1.6924999999999999</v>
      </c>
      <c r="DP19" s="10">
        <v>0.57850000000000001</v>
      </c>
      <c r="DQ19" s="10">
        <v>19.4451</v>
      </c>
      <c r="DR19" s="10">
        <v>7.3280000000000003E-3</v>
      </c>
      <c r="DS19" s="10">
        <v>0.34054000000000001</v>
      </c>
      <c r="DT19" s="10">
        <v>0.66685000000000005</v>
      </c>
      <c r="DU19" s="11"/>
      <c r="DV19" s="11"/>
      <c r="DW19" s="10">
        <v>0.50929999999999997</v>
      </c>
      <c r="DX19" s="10">
        <v>0.58989999999999998</v>
      </c>
      <c r="DY19" s="10">
        <v>164.16540000000001</v>
      </c>
      <c r="DZ19" s="11"/>
      <c r="EA19" s="10">
        <v>22.636399999999998</v>
      </c>
      <c r="EB19" s="10">
        <v>4.0545999999999998</v>
      </c>
      <c r="EC19" s="10">
        <v>1.3286</v>
      </c>
      <c r="ED19" s="10">
        <v>1.0992E-2</v>
      </c>
      <c r="EE19" s="10">
        <v>11.093299999999999</v>
      </c>
      <c r="EF19" s="10">
        <v>2.8824000000000001</v>
      </c>
      <c r="EG19" s="10">
        <v>4.5829000000000004</v>
      </c>
      <c r="EH19" s="11"/>
      <c r="EI19" s="10">
        <v>0.10259</v>
      </c>
      <c r="EJ19" s="10">
        <v>0.35171000000000002</v>
      </c>
      <c r="EK19" s="10">
        <v>152.52549999999999</v>
      </c>
      <c r="EL19" s="10">
        <v>2.5278999999999998</v>
      </c>
      <c r="EM19" s="10">
        <v>18.270399999999999</v>
      </c>
      <c r="EN19" s="10">
        <v>1.9266000000000001</v>
      </c>
      <c r="EO19" s="10">
        <v>0.33335999999999999</v>
      </c>
      <c r="EP19" s="10">
        <v>47.351700000000001</v>
      </c>
      <c r="EQ19" s="10">
        <v>3.6640000000000002E-3</v>
      </c>
      <c r="ER19" s="10">
        <v>107.6238</v>
      </c>
      <c r="ES19" s="10">
        <v>9.8391999999999999</v>
      </c>
      <c r="ET19" s="10">
        <v>30.6358</v>
      </c>
      <c r="EU19" s="11"/>
      <c r="EV19" s="10">
        <v>7.2511000000000001</v>
      </c>
      <c r="EW19" s="10">
        <v>23.187799999999999</v>
      </c>
      <c r="EX19" s="11"/>
      <c r="EY19" s="10">
        <v>3.6591999999999998</v>
      </c>
      <c r="EZ19" s="10">
        <v>1.5316000000000001</v>
      </c>
      <c r="FA19" s="10">
        <v>0.83660000000000001</v>
      </c>
      <c r="FB19" s="10">
        <v>21.939699999999998</v>
      </c>
      <c r="FC19" s="10">
        <v>32.482399999999998</v>
      </c>
      <c r="FD19" s="10">
        <v>374.7801</v>
      </c>
      <c r="FE19" s="10">
        <v>21.275300000000001</v>
      </c>
      <c r="FF19" s="10">
        <v>10.9474</v>
      </c>
      <c r="FG19" s="10">
        <v>0.35271999999999998</v>
      </c>
      <c r="FH19" s="11"/>
      <c r="FI19" s="10">
        <v>162.00640000000001</v>
      </c>
      <c r="FJ19" s="10">
        <v>1832.1551999999999</v>
      </c>
      <c r="FK19" s="10">
        <v>0.17587</v>
      </c>
      <c r="FL19" s="11"/>
      <c r="FM19" s="11"/>
      <c r="FN19" s="10">
        <v>7.6943999999999999E-2</v>
      </c>
      <c r="FO19" s="10">
        <v>3.2975999999999998E-2</v>
      </c>
      <c r="FP19" s="10">
        <v>3.2975999999999998E-2</v>
      </c>
      <c r="FQ19" s="10">
        <v>5.8624000000000002E-2</v>
      </c>
      <c r="FR19" s="10">
        <v>1.8319999999999999E-2</v>
      </c>
      <c r="FS19" s="10">
        <v>83.260800000000003</v>
      </c>
      <c r="FT19" s="10">
        <v>2.5779999999999998</v>
      </c>
      <c r="FU19" s="10">
        <v>39.110599999999998</v>
      </c>
      <c r="FV19" s="10">
        <v>5.8624000000000002E-2</v>
      </c>
      <c r="FW19" s="10">
        <v>0.52395000000000003</v>
      </c>
      <c r="FX19" s="10">
        <v>24.517800000000001</v>
      </c>
      <c r="FY19" s="10">
        <v>55.5274</v>
      </c>
      <c r="FZ19" s="10">
        <v>11.076499999999999</v>
      </c>
      <c r="GA19" s="10">
        <v>5.8624000000000002E-2</v>
      </c>
      <c r="GB19" s="10">
        <v>0.50197000000000003</v>
      </c>
      <c r="GC19" s="10">
        <v>185.011</v>
      </c>
      <c r="GD19" s="10">
        <v>81.784000000000006</v>
      </c>
      <c r="GE19" s="10">
        <v>181.05340000000001</v>
      </c>
      <c r="GF19" s="10">
        <v>2.8929999999999998</v>
      </c>
      <c r="GG19" s="10">
        <v>3.8822000000000001</v>
      </c>
      <c r="GH19" s="10">
        <v>2.0186999999999999</v>
      </c>
      <c r="GI19" s="10">
        <v>0.33709</v>
      </c>
      <c r="GJ19" s="10">
        <v>80.760499999999993</v>
      </c>
      <c r="GK19" s="10">
        <v>39.051099999999998</v>
      </c>
      <c r="GL19" s="10">
        <v>11.171200000000001</v>
      </c>
      <c r="GM19" s="10">
        <v>43.456899999999997</v>
      </c>
      <c r="GN19" s="10">
        <v>8.4209999999999994</v>
      </c>
      <c r="GO19" s="10">
        <v>2.2816000000000001</v>
      </c>
      <c r="GP19" s="10">
        <v>24.371500000000001</v>
      </c>
      <c r="GQ19" s="11"/>
      <c r="GR19" s="10">
        <v>0.31143999999999999</v>
      </c>
      <c r="GS19" s="10">
        <v>3.2975999999999998E-2</v>
      </c>
      <c r="GT19" s="10">
        <v>9.6133000000000006</v>
      </c>
      <c r="GU19" s="10">
        <v>5.5411000000000001</v>
      </c>
      <c r="GV19" s="10">
        <v>65.419399999999996</v>
      </c>
      <c r="GW19" s="10">
        <v>34.308300000000003</v>
      </c>
      <c r="GX19" s="11"/>
      <c r="GY19" s="11"/>
      <c r="GZ19" s="10">
        <v>1.1286</v>
      </c>
      <c r="HA19" s="10">
        <v>552.91869999999994</v>
      </c>
      <c r="HB19" s="10">
        <v>31.045100000000001</v>
      </c>
      <c r="HC19" s="10">
        <v>603.24739999999997</v>
      </c>
      <c r="HD19" s="10">
        <v>4400.7950000000001</v>
      </c>
      <c r="HE19" s="10">
        <v>5.9623999999999997</v>
      </c>
      <c r="HF19" s="10">
        <v>91.8339</v>
      </c>
      <c r="HG19" s="10">
        <v>5.4960000000000002E-2</v>
      </c>
      <c r="HH19" s="10">
        <v>63.750399999999999</v>
      </c>
      <c r="HI19" s="10">
        <v>21.779699999999998</v>
      </c>
      <c r="HJ19" s="11"/>
      <c r="HK19" s="11"/>
      <c r="HL19" s="10">
        <v>2.1688999999999998</v>
      </c>
      <c r="HM19" s="10">
        <v>4.0762</v>
      </c>
      <c r="HN19" s="10">
        <v>8.3109000000000002</v>
      </c>
      <c r="HO19" s="10">
        <f t="shared" si="0"/>
        <v>16452.087238</v>
      </c>
      <c r="HP19" s="10">
        <f t="shared" si="1"/>
        <v>16.452087238000001</v>
      </c>
      <c r="HQ19" s="10">
        <f t="shared" si="2"/>
        <v>4.4865250171802566</v>
      </c>
      <c r="HR19" s="11"/>
      <c r="HS19" s="11"/>
      <c r="HT19" s="11"/>
      <c r="HU19" s="11"/>
      <c r="HV19" s="11"/>
      <c r="HW19" s="11"/>
    </row>
    <row r="20" spans="1:231" ht="19.95" customHeight="1">
      <c r="A20" s="8">
        <v>1976</v>
      </c>
      <c r="B20" s="9">
        <v>1.9812000000000001</v>
      </c>
      <c r="C20" s="10">
        <v>4.9463999999999997</v>
      </c>
      <c r="D20" s="10">
        <v>39.131100000000004</v>
      </c>
      <c r="E20" s="11"/>
      <c r="F20" s="10">
        <v>3.28</v>
      </c>
      <c r="G20" s="11"/>
      <c r="H20" s="10">
        <v>0.40304000000000001</v>
      </c>
      <c r="I20" s="10">
        <v>99.6995</v>
      </c>
      <c r="J20" s="10">
        <v>15.693099999999999</v>
      </c>
      <c r="K20" s="10">
        <v>1.2191000000000001</v>
      </c>
      <c r="L20" s="10">
        <v>174.07470000000001</v>
      </c>
      <c r="M20" s="10">
        <v>58.204300000000003</v>
      </c>
      <c r="N20" s="10">
        <v>44.893300000000004</v>
      </c>
      <c r="O20" s="10">
        <v>6.4573999999999998</v>
      </c>
      <c r="P20" s="10">
        <v>6.5696000000000003</v>
      </c>
      <c r="Q20" s="10">
        <v>5.5557999999999996</v>
      </c>
      <c r="R20" s="10">
        <v>0.53127999999999997</v>
      </c>
      <c r="S20" s="10">
        <v>98.081000000000003</v>
      </c>
      <c r="T20" s="10">
        <v>129.6781</v>
      </c>
      <c r="U20" s="10">
        <v>0.17587</v>
      </c>
      <c r="V20" s="10">
        <v>0.26013999999999998</v>
      </c>
      <c r="W20" s="10">
        <v>0.46899000000000002</v>
      </c>
      <c r="X20" s="10">
        <v>3.6640000000000002E-3</v>
      </c>
      <c r="Y20" s="10">
        <v>4.5747999999999998</v>
      </c>
      <c r="Z20" s="10">
        <v>0.92761000000000005</v>
      </c>
      <c r="AA20" s="10">
        <v>13.8918</v>
      </c>
      <c r="AB20" s="10">
        <v>0.59357000000000004</v>
      </c>
      <c r="AC20" s="10">
        <v>154.3981</v>
      </c>
      <c r="AD20" s="10">
        <v>2.5648000000000001E-2</v>
      </c>
      <c r="AE20" s="10">
        <v>6.02</v>
      </c>
      <c r="AF20" s="10">
        <v>72.964799999999997</v>
      </c>
      <c r="AG20" s="10">
        <v>0.20885000000000001</v>
      </c>
      <c r="AH20" s="10">
        <v>8.7936E-2</v>
      </c>
      <c r="AI20" s="10">
        <v>7.2774000000000005E-2</v>
      </c>
      <c r="AJ20" s="10">
        <v>1.089</v>
      </c>
      <c r="AK20" s="10">
        <v>398.94600000000003</v>
      </c>
      <c r="AL20" s="10">
        <v>7.3279999999999998E-2</v>
      </c>
      <c r="AM20" s="11"/>
      <c r="AN20" s="10">
        <v>0.12823999999999999</v>
      </c>
      <c r="AO20" s="10">
        <v>0.1832</v>
      </c>
      <c r="AP20" s="10">
        <v>24.025400000000001</v>
      </c>
      <c r="AQ20" s="10">
        <v>1190.9645</v>
      </c>
      <c r="AR20" s="10">
        <v>37.979700000000001</v>
      </c>
      <c r="AS20" s="10">
        <v>4.0304E-2</v>
      </c>
      <c r="AT20" s="10">
        <v>1.2347999999999999</v>
      </c>
      <c r="AU20" s="10">
        <v>1.4656000000000001E-2</v>
      </c>
      <c r="AV20" s="10">
        <v>2.0819000000000001</v>
      </c>
      <c r="AW20" s="10">
        <v>3.9607999999999999</v>
      </c>
      <c r="AX20" s="10">
        <v>15.0228</v>
      </c>
      <c r="AY20" s="10">
        <v>27.181000000000001</v>
      </c>
      <c r="AZ20" s="10">
        <v>17.624600000000001</v>
      </c>
      <c r="BA20" s="10">
        <v>2.4872999999999998</v>
      </c>
      <c r="BB20" s="10">
        <v>180.44720000000001</v>
      </c>
      <c r="BC20" s="10">
        <v>3.4049</v>
      </c>
      <c r="BD20" s="10">
        <v>60.1023</v>
      </c>
      <c r="BE20" s="10">
        <v>0.19786000000000001</v>
      </c>
      <c r="BF20" s="10">
        <v>2.9312000000000001E-2</v>
      </c>
      <c r="BG20" s="10">
        <v>6.3224</v>
      </c>
      <c r="BH20" s="10">
        <v>8.1006</v>
      </c>
      <c r="BI20" s="10">
        <v>34.450400000000002</v>
      </c>
      <c r="BJ20" s="10">
        <v>2.2067000000000001</v>
      </c>
      <c r="BK20" s="10">
        <v>6.2288000000000003E-2</v>
      </c>
      <c r="BL20" s="11"/>
      <c r="BM20" s="10">
        <v>28.1006</v>
      </c>
      <c r="BN20" s="10">
        <v>1.1747000000000001</v>
      </c>
      <c r="BO20" s="10">
        <v>0.32976</v>
      </c>
      <c r="BP20" s="11"/>
      <c r="BQ20" s="10">
        <v>0.48299999999999998</v>
      </c>
      <c r="BR20" s="10">
        <v>51.198599999999999</v>
      </c>
      <c r="BS20" s="10">
        <v>506.61470000000003</v>
      </c>
      <c r="BT20" s="11"/>
      <c r="BU20" s="10">
        <v>0.26380999999999999</v>
      </c>
      <c r="BV20" s="10">
        <v>5.7038000000000002</v>
      </c>
      <c r="BW20" s="10">
        <v>9.8928000000000002E-2</v>
      </c>
      <c r="BX20" s="10">
        <v>23.903300000000002</v>
      </c>
      <c r="BY20" s="10">
        <v>1090.8364999999999</v>
      </c>
      <c r="BZ20" s="10">
        <v>2.4266000000000001</v>
      </c>
      <c r="CA20" s="11"/>
      <c r="CB20" s="10">
        <v>42.6554</v>
      </c>
      <c r="CC20" s="10">
        <v>0.21984000000000001</v>
      </c>
      <c r="CD20" s="10">
        <v>4.7632000000000001E-2</v>
      </c>
      <c r="CE20" s="11"/>
      <c r="CF20" s="10">
        <v>3.3048999999999999</v>
      </c>
      <c r="CG20" s="10">
        <v>0.88668999999999998</v>
      </c>
      <c r="CH20" s="10">
        <v>9.5264000000000001E-2</v>
      </c>
      <c r="CI20" s="10">
        <v>1.7514000000000001</v>
      </c>
      <c r="CJ20" s="10">
        <v>0.67218</v>
      </c>
      <c r="CK20" s="10">
        <v>1.7748999999999999</v>
      </c>
      <c r="CL20" s="10">
        <v>12.490399999999999</v>
      </c>
      <c r="CM20" s="10">
        <v>79.897099999999995</v>
      </c>
      <c r="CN20" s="10">
        <v>1.7007000000000001</v>
      </c>
      <c r="CO20" s="10">
        <v>245.06630000000001</v>
      </c>
      <c r="CP20" s="10">
        <v>61.7883</v>
      </c>
      <c r="CQ20" s="10">
        <v>156.45910000000001</v>
      </c>
      <c r="CR20" s="10">
        <v>48.735500000000002</v>
      </c>
      <c r="CS20" s="10">
        <v>22.292999999999999</v>
      </c>
      <c r="CT20" s="10">
        <v>19.496700000000001</v>
      </c>
      <c r="CU20" s="10">
        <v>365.79570000000001</v>
      </c>
      <c r="CV20" s="10">
        <v>7.2759999999999998</v>
      </c>
      <c r="CW20" s="10">
        <v>907.1454</v>
      </c>
      <c r="CX20" s="10">
        <v>2.9445999999999999</v>
      </c>
      <c r="CY20" s="10">
        <v>196.7938</v>
      </c>
      <c r="CZ20" s="10">
        <v>4.5961999999999996</v>
      </c>
      <c r="DA20" s="10">
        <v>3.2975999999999998E-2</v>
      </c>
      <c r="DB20" s="11"/>
      <c r="DC20" s="10">
        <v>18.456199999999999</v>
      </c>
      <c r="DD20" s="10">
        <v>18.203199999999999</v>
      </c>
      <c r="DE20" s="10">
        <v>0.2235</v>
      </c>
      <c r="DF20" s="10">
        <v>14.5001</v>
      </c>
      <c r="DG20" s="10">
        <v>5.9240000000000004</v>
      </c>
      <c r="DH20" s="11"/>
      <c r="DI20" s="10">
        <v>1.4756</v>
      </c>
      <c r="DJ20" s="10">
        <v>17.887899999999998</v>
      </c>
      <c r="DK20" s="11"/>
      <c r="DL20" s="10">
        <v>27.230799999999999</v>
      </c>
      <c r="DM20" s="10">
        <v>11.8666</v>
      </c>
      <c r="DN20" s="10">
        <v>0.25281999999999999</v>
      </c>
      <c r="DO20" s="10">
        <v>0.99222999999999995</v>
      </c>
      <c r="DP20" s="10">
        <v>0.58172999999999997</v>
      </c>
      <c r="DQ20" s="10">
        <v>23.897600000000001</v>
      </c>
      <c r="DR20" s="10">
        <v>1.0992E-2</v>
      </c>
      <c r="DS20" s="10">
        <v>0.34026000000000001</v>
      </c>
      <c r="DT20" s="10">
        <v>0.76210999999999995</v>
      </c>
      <c r="DU20" s="11"/>
      <c r="DV20" s="11"/>
      <c r="DW20" s="10">
        <v>0.51661999999999997</v>
      </c>
      <c r="DX20" s="10">
        <v>0.61921999999999999</v>
      </c>
      <c r="DY20" s="10">
        <v>183.77379999999999</v>
      </c>
      <c r="DZ20" s="11"/>
      <c r="EA20" s="10">
        <v>23.507000000000001</v>
      </c>
      <c r="EB20" s="10">
        <v>4.3899999999999997</v>
      </c>
      <c r="EC20" s="10">
        <v>1.3713</v>
      </c>
      <c r="ED20" s="10">
        <v>1.0992E-2</v>
      </c>
      <c r="EE20" s="10">
        <v>11.527900000000001</v>
      </c>
      <c r="EF20" s="10">
        <v>2.5554000000000001</v>
      </c>
      <c r="EG20" s="10">
        <v>4.8928000000000003</v>
      </c>
      <c r="EH20" s="11"/>
      <c r="EI20" s="10">
        <v>0.10259</v>
      </c>
      <c r="EJ20" s="10">
        <v>0.28183999999999998</v>
      </c>
      <c r="EK20" s="10">
        <v>169.1309</v>
      </c>
      <c r="EL20" s="10">
        <v>2.3883999999999999</v>
      </c>
      <c r="EM20" s="10">
        <v>19.2486</v>
      </c>
      <c r="EN20" s="10">
        <v>2.2222</v>
      </c>
      <c r="EO20" s="10">
        <v>0.33306999999999998</v>
      </c>
      <c r="EP20" s="10">
        <v>55.189599999999999</v>
      </c>
      <c r="EQ20" s="10">
        <v>3.6640000000000002E-3</v>
      </c>
      <c r="ER20" s="10">
        <v>110.0309</v>
      </c>
      <c r="ES20" s="10">
        <v>10.1554</v>
      </c>
      <c r="ET20" s="10">
        <v>33.386899999999997</v>
      </c>
      <c r="EU20" s="11"/>
      <c r="EV20" s="10">
        <v>8.3209</v>
      </c>
      <c r="EW20" s="10">
        <v>22.788499999999999</v>
      </c>
      <c r="EX20" s="11"/>
      <c r="EY20" s="10">
        <v>3.6067</v>
      </c>
      <c r="EZ20" s="10">
        <v>1.5719000000000001</v>
      </c>
      <c r="FA20" s="10">
        <v>1.0301</v>
      </c>
      <c r="FB20" s="10">
        <v>22.410299999999999</v>
      </c>
      <c r="FC20" s="10">
        <v>35.066200000000002</v>
      </c>
      <c r="FD20" s="10">
        <v>398.11869999999999</v>
      </c>
      <c r="FE20" s="10">
        <v>22.325800000000001</v>
      </c>
      <c r="FF20" s="10">
        <v>10.3749</v>
      </c>
      <c r="FG20" s="10">
        <v>0.31245000000000001</v>
      </c>
      <c r="FH20" s="11"/>
      <c r="FI20" s="10">
        <v>174.47200000000001</v>
      </c>
      <c r="FJ20" s="10">
        <v>1902.6320000000001</v>
      </c>
      <c r="FK20" s="10">
        <v>0.26746999999999999</v>
      </c>
      <c r="FL20" s="11"/>
      <c r="FM20" s="11"/>
      <c r="FN20" s="10">
        <v>8.4272E-2</v>
      </c>
      <c r="FO20" s="10">
        <v>4.7632000000000001E-2</v>
      </c>
      <c r="FP20" s="10">
        <v>3.2975999999999998E-2</v>
      </c>
      <c r="FQ20" s="10">
        <v>4.7632000000000001E-2</v>
      </c>
      <c r="FR20" s="10">
        <v>2.9312000000000001E-2</v>
      </c>
      <c r="FS20" s="10">
        <v>101.45950000000001</v>
      </c>
      <c r="FT20" s="10">
        <v>1.7697000000000001</v>
      </c>
      <c r="FU20" s="10">
        <v>40.354100000000003</v>
      </c>
      <c r="FV20" s="10">
        <v>8.0607999999999999E-2</v>
      </c>
      <c r="FW20" s="10">
        <v>0.45067000000000002</v>
      </c>
      <c r="FX20" s="10">
        <v>29.9985</v>
      </c>
      <c r="FY20" s="10">
        <v>57.694899999999997</v>
      </c>
      <c r="FZ20" s="10">
        <v>11.423299999999999</v>
      </c>
      <c r="GA20" s="10">
        <v>6.2288000000000003E-2</v>
      </c>
      <c r="GB20" s="10">
        <v>0.47998000000000002</v>
      </c>
      <c r="GC20" s="10">
        <v>192.91659999999999</v>
      </c>
      <c r="GD20" s="10">
        <v>93.270799999999994</v>
      </c>
      <c r="GE20" s="10">
        <v>197.7457</v>
      </c>
      <c r="GF20" s="10">
        <v>2.7988</v>
      </c>
      <c r="GG20" s="10">
        <v>3.4382999999999999</v>
      </c>
      <c r="GH20" s="10">
        <v>1.9964999999999999</v>
      </c>
      <c r="GI20" s="10">
        <v>0.33341999999999999</v>
      </c>
      <c r="GJ20" s="10">
        <v>88.241200000000006</v>
      </c>
      <c r="GK20" s="10">
        <v>40.437100000000001</v>
      </c>
      <c r="GL20" s="10">
        <v>13.7371</v>
      </c>
      <c r="GM20" s="10">
        <v>56.053699999999999</v>
      </c>
      <c r="GN20" s="10">
        <v>8.7448999999999995</v>
      </c>
      <c r="GO20" s="10">
        <v>2.786</v>
      </c>
      <c r="GP20" s="10">
        <v>28.716200000000001</v>
      </c>
      <c r="GQ20" s="11"/>
      <c r="GR20" s="10">
        <v>0.32242999999999999</v>
      </c>
      <c r="GS20" s="10">
        <v>2.9312000000000001E-2</v>
      </c>
      <c r="GT20" s="10">
        <v>15.9108</v>
      </c>
      <c r="GU20" s="10">
        <v>5.8414000000000001</v>
      </c>
      <c r="GV20" s="10">
        <v>73.359499999999997</v>
      </c>
      <c r="GW20" s="10">
        <v>35.621000000000002</v>
      </c>
      <c r="GX20" s="11"/>
      <c r="GY20" s="11"/>
      <c r="GZ20" s="10">
        <v>0.98536999999999997</v>
      </c>
      <c r="HA20" s="10">
        <v>574.09169999999995</v>
      </c>
      <c r="HB20" s="10">
        <v>39.616999999999997</v>
      </c>
      <c r="HC20" s="10">
        <v>598.52629999999999</v>
      </c>
      <c r="HD20" s="10">
        <v>4607.1682000000001</v>
      </c>
      <c r="HE20" s="10">
        <v>5.8871000000000002</v>
      </c>
      <c r="HF20" s="10">
        <v>95.313800000000001</v>
      </c>
      <c r="HG20" s="10">
        <v>4.3968E-2</v>
      </c>
      <c r="HH20" s="10">
        <v>57.273400000000002</v>
      </c>
      <c r="HI20" s="10">
        <v>13.9049</v>
      </c>
      <c r="HJ20" s="11"/>
      <c r="HK20" s="11"/>
      <c r="HL20" s="10">
        <v>2.5642999999999998</v>
      </c>
      <c r="HM20" s="10">
        <v>4.0194000000000001</v>
      </c>
      <c r="HN20" s="10">
        <v>10.854900000000001</v>
      </c>
      <c r="HO20" s="10">
        <f t="shared" si="0"/>
        <v>17356.598320000001</v>
      </c>
      <c r="HP20" s="10">
        <f t="shared" si="1"/>
        <v>17.35659832</v>
      </c>
      <c r="HQ20" s="10">
        <f t="shared" si="2"/>
        <v>4.7331874338696487</v>
      </c>
      <c r="HR20" s="11"/>
      <c r="HS20" s="11"/>
      <c r="HT20" s="11"/>
      <c r="HU20" s="11"/>
      <c r="HV20" s="11"/>
      <c r="HW20" s="11"/>
    </row>
    <row r="21" spans="1:231" ht="19.95" customHeight="1">
      <c r="A21" s="8">
        <v>1977</v>
      </c>
      <c r="B21" s="9">
        <v>2.3845000000000001</v>
      </c>
      <c r="C21" s="10">
        <v>5.7157999999999998</v>
      </c>
      <c r="D21" s="10">
        <v>41.844900000000003</v>
      </c>
      <c r="E21" s="11"/>
      <c r="F21" s="10">
        <v>3.5274999999999999</v>
      </c>
      <c r="G21" s="11"/>
      <c r="H21" s="10">
        <v>0.46533000000000002</v>
      </c>
      <c r="I21" s="10">
        <v>100.7063</v>
      </c>
      <c r="J21" s="10">
        <v>16.2301</v>
      </c>
      <c r="K21" s="10">
        <v>0.63675999999999999</v>
      </c>
      <c r="L21" s="10">
        <v>187.60489999999999</v>
      </c>
      <c r="M21" s="10">
        <v>55.994300000000003</v>
      </c>
      <c r="N21" s="10">
        <v>46.421199999999999</v>
      </c>
      <c r="O21" s="10">
        <v>9.7087000000000003</v>
      </c>
      <c r="P21" s="10">
        <v>7.4635999999999996</v>
      </c>
      <c r="Q21" s="10">
        <v>5.7847</v>
      </c>
      <c r="R21" s="10">
        <v>0.58989999999999998</v>
      </c>
      <c r="S21" s="10">
        <v>101.4044</v>
      </c>
      <c r="T21" s="10">
        <v>126.2</v>
      </c>
      <c r="U21" s="10">
        <v>0.19786000000000001</v>
      </c>
      <c r="V21" s="10">
        <v>0.29677999999999999</v>
      </c>
      <c r="W21" s="10">
        <v>0.45434000000000002</v>
      </c>
      <c r="X21" s="10">
        <v>7.3280000000000003E-3</v>
      </c>
      <c r="Y21" s="10">
        <v>4.4748999999999999</v>
      </c>
      <c r="Z21" s="10">
        <v>0.48449999999999999</v>
      </c>
      <c r="AA21" s="10">
        <v>13.508100000000001</v>
      </c>
      <c r="AB21" s="10">
        <v>0.78042999999999996</v>
      </c>
      <c r="AC21" s="10">
        <v>162.07830000000001</v>
      </c>
      <c r="AD21" s="10">
        <v>2.9312000000000001E-2</v>
      </c>
      <c r="AE21" s="10">
        <v>6.39</v>
      </c>
      <c r="AF21" s="10">
        <v>75.795900000000003</v>
      </c>
      <c r="AG21" s="10">
        <v>0.24915000000000001</v>
      </c>
      <c r="AH21" s="10">
        <v>9.8928000000000002E-2</v>
      </c>
      <c r="AI21" s="10">
        <v>7.2475999999999999E-2</v>
      </c>
      <c r="AJ21" s="10">
        <v>1.5589999999999999</v>
      </c>
      <c r="AK21" s="10">
        <v>407.77140000000003</v>
      </c>
      <c r="AL21" s="10">
        <v>8.0607999999999999E-2</v>
      </c>
      <c r="AM21" s="11"/>
      <c r="AN21" s="10">
        <v>0.12823999999999999</v>
      </c>
      <c r="AO21" s="10">
        <v>0.19786000000000001</v>
      </c>
      <c r="AP21" s="10">
        <v>23.0122</v>
      </c>
      <c r="AQ21" s="10">
        <v>1304.4028000000001</v>
      </c>
      <c r="AR21" s="10">
        <v>39.241</v>
      </c>
      <c r="AS21" s="10">
        <v>4.0304E-2</v>
      </c>
      <c r="AT21" s="10">
        <v>0.47998000000000002</v>
      </c>
      <c r="AU21" s="10">
        <v>2.9312000000000001E-2</v>
      </c>
      <c r="AV21" s="10">
        <v>2.6074000000000002</v>
      </c>
      <c r="AW21" s="10">
        <v>4.0523999999999996</v>
      </c>
      <c r="AX21" s="10">
        <v>14.6031</v>
      </c>
      <c r="AY21" s="10">
        <v>29.344999999999999</v>
      </c>
      <c r="AZ21" s="10">
        <v>9.2053999999999991</v>
      </c>
      <c r="BA21" s="10">
        <v>2.6989000000000001</v>
      </c>
      <c r="BB21" s="10">
        <v>185.83150000000001</v>
      </c>
      <c r="BC21" s="10">
        <v>3.4769999999999999</v>
      </c>
      <c r="BD21" s="10">
        <v>61.817399999999999</v>
      </c>
      <c r="BE21" s="10">
        <v>0.19786000000000001</v>
      </c>
      <c r="BF21" s="10">
        <v>2.5648000000000001E-2</v>
      </c>
      <c r="BG21" s="10">
        <v>5.5989000000000004</v>
      </c>
      <c r="BH21" s="10">
        <v>7.4722</v>
      </c>
      <c r="BI21" s="10">
        <v>37.815100000000001</v>
      </c>
      <c r="BJ21" s="10">
        <v>2.2816999999999998</v>
      </c>
      <c r="BK21" s="10">
        <v>6.2288000000000003E-2</v>
      </c>
      <c r="BL21" s="11"/>
      <c r="BM21" s="10">
        <v>29.058199999999999</v>
      </c>
      <c r="BN21" s="10">
        <v>1.0468</v>
      </c>
      <c r="BO21" s="10">
        <v>0.40670000000000001</v>
      </c>
      <c r="BP21" s="11"/>
      <c r="BQ21" s="10">
        <v>0.76463000000000003</v>
      </c>
      <c r="BR21" s="10">
        <v>50.137099999999997</v>
      </c>
      <c r="BS21" s="10">
        <v>481.90789999999998</v>
      </c>
      <c r="BT21" s="11"/>
      <c r="BU21" s="10">
        <v>0.27479999999999999</v>
      </c>
      <c r="BV21" s="10">
        <v>6.3064999999999998</v>
      </c>
      <c r="BW21" s="10">
        <v>0.11358</v>
      </c>
      <c r="BX21" s="10">
        <v>24.714500000000001</v>
      </c>
      <c r="BY21" s="10">
        <v>1052.6041</v>
      </c>
      <c r="BZ21" s="10">
        <v>2.9914999999999998</v>
      </c>
      <c r="CA21" s="11"/>
      <c r="CB21" s="10">
        <v>46.6569</v>
      </c>
      <c r="CC21" s="10">
        <v>0.72180999999999995</v>
      </c>
      <c r="CD21" s="10">
        <v>4.7632000000000001E-2</v>
      </c>
      <c r="CE21" s="11"/>
      <c r="CF21" s="10">
        <v>3.8045</v>
      </c>
      <c r="CG21" s="10">
        <v>0.90134000000000003</v>
      </c>
      <c r="CH21" s="10">
        <v>0.10259</v>
      </c>
      <c r="CI21" s="10">
        <v>1.8979999999999999</v>
      </c>
      <c r="CJ21" s="10">
        <v>0.70413999999999999</v>
      </c>
      <c r="CK21" s="10">
        <v>1.9974000000000001</v>
      </c>
      <c r="CL21" s="10">
        <v>14.203900000000001</v>
      </c>
      <c r="CM21" s="10">
        <v>83.075000000000003</v>
      </c>
      <c r="CN21" s="10">
        <v>1.9018999999999999</v>
      </c>
      <c r="CO21" s="10">
        <v>259.29480000000001</v>
      </c>
      <c r="CP21" s="10">
        <v>82.416399999999996</v>
      </c>
      <c r="CQ21" s="10">
        <v>163.7319</v>
      </c>
      <c r="CR21" s="10">
        <v>43.6295</v>
      </c>
      <c r="CS21" s="10">
        <v>23.568300000000001</v>
      </c>
      <c r="CT21" s="10">
        <v>19.765799999999999</v>
      </c>
      <c r="CU21" s="10">
        <v>354.41789999999997</v>
      </c>
      <c r="CV21" s="10">
        <v>7.4409999999999998</v>
      </c>
      <c r="CW21" s="10">
        <v>933.23869999999999</v>
      </c>
      <c r="CX21" s="10">
        <v>3.1539000000000001</v>
      </c>
      <c r="CY21" s="10">
        <v>203.3784</v>
      </c>
      <c r="CZ21" s="10">
        <v>5.0351999999999997</v>
      </c>
      <c r="DA21" s="10">
        <v>2.1984E-2</v>
      </c>
      <c r="DB21" s="11"/>
      <c r="DC21" s="10">
        <v>17.2014</v>
      </c>
      <c r="DD21" s="10">
        <v>18.8215</v>
      </c>
      <c r="DE21" s="10">
        <v>0.23083000000000001</v>
      </c>
      <c r="DF21" s="10">
        <v>14.998100000000001</v>
      </c>
      <c r="DG21" s="10">
        <v>5.3855000000000004</v>
      </c>
      <c r="DH21" s="11"/>
      <c r="DI21" s="10">
        <v>1.4714</v>
      </c>
      <c r="DJ21" s="10">
        <v>20.0517</v>
      </c>
      <c r="DK21" s="11"/>
      <c r="DL21" s="10">
        <v>28.187100000000001</v>
      </c>
      <c r="DM21" s="10">
        <v>10.9594</v>
      </c>
      <c r="DN21" s="10">
        <v>0.30778</v>
      </c>
      <c r="DO21" s="10">
        <v>0.84560000000000002</v>
      </c>
      <c r="DP21" s="10">
        <v>0.63607999999999998</v>
      </c>
      <c r="DQ21" s="10">
        <v>22.620699999999999</v>
      </c>
      <c r="DR21" s="10">
        <v>1.4656000000000001E-2</v>
      </c>
      <c r="DS21" s="10">
        <v>0.41347</v>
      </c>
      <c r="DT21" s="10">
        <v>0.80242000000000002</v>
      </c>
      <c r="DU21" s="11"/>
      <c r="DV21" s="11"/>
      <c r="DW21" s="10">
        <v>0.55693000000000004</v>
      </c>
      <c r="DX21" s="10">
        <v>0.64119999999999999</v>
      </c>
      <c r="DY21" s="10">
        <v>192.43620000000001</v>
      </c>
      <c r="DZ21" s="11"/>
      <c r="EA21" s="10">
        <v>24.305700000000002</v>
      </c>
      <c r="EB21" s="10">
        <v>4.9607000000000001</v>
      </c>
      <c r="EC21" s="10">
        <v>1.3334999999999999</v>
      </c>
      <c r="ED21" s="10">
        <v>2.5648000000000001E-2</v>
      </c>
      <c r="EE21" s="10">
        <v>12.679600000000001</v>
      </c>
      <c r="EF21" s="10">
        <v>2.7063999999999999</v>
      </c>
      <c r="EG21" s="10">
        <v>5.1657000000000002</v>
      </c>
      <c r="EH21" s="11"/>
      <c r="EI21" s="10">
        <v>0.11358</v>
      </c>
      <c r="EJ21" s="10">
        <v>0.33639999999999998</v>
      </c>
      <c r="EK21" s="10">
        <v>163.60579999999999</v>
      </c>
      <c r="EL21" s="10">
        <v>2.1389999999999998</v>
      </c>
      <c r="EM21" s="10">
        <v>20.313500000000001</v>
      </c>
      <c r="EN21" s="10">
        <v>2.8331</v>
      </c>
      <c r="EO21" s="10">
        <v>0.36584</v>
      </c>
      <c r="EP21" s="10">
        <v>50.504600000000003</v>
      </c>
      <c r="EQ21" s="10">
        <v>3.6640000000000002E-3</v>
      </c>
      <c r="ER21" s="10">
        <v>113.6652</v>
      </c>
      <c r="ES21" s="10">
        <v>9.8758999999999997</v>
      </c>
      <c r="ET21" s="10">
        <v>33.382100000000001</v>
      </c>
      <c r="EU21" s="11"/>
      <c r="EV21" s="10">
        <v>8.5005000000000006</v>
      </c>
      <c r="EW21" s="10">
        <v>24.319900000000001</v>
      </c>
      <c r="EX21" s="11"/>
      <c r="EY21" s="10">
        <v>3.4554</v>
      </c>
      <c r="EZ21" s="10">
        <v>1.5791999999999999</v>
      </c>
      <c r="FA21" s="10">
        <v>1.1533</v>
      </c>
      <c r="FB21" s="10">
        <v>23.302800000000001</v>
      </c>
      <c r="FC21" s="10">
        <v>36.676099999999998</v>
      </c>
      <c r="FD21" s="10">
        <v>417.95499999999998</v>
      </c>
      <c r="FE21" s="10">
        <v>22.6051</v>
      </c>
      <c r="FF21" s="10">
        <v>9.9160000000000004</v>
      </c>
      <c r="FG21" s="10">
        <v>0.31672</v>
      </c>
      <c r="FH21" s="11"/>
      <c r="FI21" s="10">
        <v>178.07669999999999</v>
      </c>
      <c r="FJ21" s="10">
        <v>1967.2754</v>
      </c>
      <c r="FK21" s="10">
        <v>0.26746999999999999</v>
      </c>
      <c r="FL21" s="11"/>
      <c r="FM21" s="11"/>
      <c r="FN21" s="10">
        <v>6.9615999999999997E-2</v>
      </c>
      <c r="FO21" s="10">
        <v>3.6639999999999999E-2</v>
      </c>
      <c r="FP21" s="10">
        <v>3.2975999999999998E-2</v>
      </c>
      <c r="FQ21" s="10">
        <v>8.0607999999999999E-2</v>
      </c>
      <c r="FR21" s="10">
        <v>2.9312000000000001E-2</v>
      </c>
      <c r="FS21" s="10">
        <v>118.0703</v>
      </c>
      <c r="FT21" s="10">
        <v>2.2372999999999998</v>
      </c>
      <c r="FU21" s="10">
        <v>39.228299999999997</v>
      </c>
      <c r="FV21" s="10">
        <v>8.4272E-2</v>
      </c>
      <c r="FW21" s="10">
        <v>0.51295999999999997</v>
      </c>
      <c r="FX21" s="10">
        <v>28.264900000000001</v>
      </c>
      <c r="FY21" s="10">
        <v>59.428100000000001</v>
      </c>
      <c r="FZ21" s="10">
        <v>11.096299999999999</v>
      </c>
      <c r="GA21" s="10">
        <v>8.0607999999999999E-2</v>
      </c>
      <c r="GB21" s="10">
        <v>0.79874999999999996</v>
      </c>
      <c r="GC21" s="10">
        <v>199.74719999999999</v>
      </c>
      <c r="GD21" s="10">
        <v>105.69159999999999</v>
      </c>
      <c r="GE21" s="10">
        <v>194.8288</v>
      </c>
      <c r="GF21" s="10">
        <v>2.911</v>
      </c>
      <c r="GG21" s="10">
        <v>3.4843999999999999</v>
      </c>
      <c r="GH21" s="10">
        <v>1.8975</v>
      </c>
      <c r="GI21" s="10">
        <v>0.34075</v>
      </c>
      <c r="GJ21" s="10">
        <v>85.740799999999993</v>
      </c>
      <c r="GK21" s="10">
        <v>41.037700000000001</v>
      </c>
      <c r="GL21" s="10">
        <v>14.632400000000001</v>
      </c>
      <c r="GM21" s="10">
        <v>61.016300000000001</v>
      </c>
      <c r="GN21" s="10">
        <v>9.0420999999999996</v>
      </c>
      <c r="GO21" s="10">
        <v>2.0076000000000001</v>
      </c>
      <c r="GP21" s="10">
        <v>32.064900000000002</v>
      </c>
      <c r="GQ21" s="11"/>
      <c r="GR21" s="10">
        <v>0.46166000000000001</v>
      </c>
      <c r="GS21" s="10">
        <v>2.9312000000000001E-2</v>
      </c>
      <c r="GT21" s="10">
        <v>16.159300000000002</v>
      </c>
      <c r="GU21" s="10">
        <v>6.7487000000000004</v>
      </c>
      <c r="GV21" s="10">
        <v>81.120800000000003</v>
      </c>
      <c r="GW21" s="10">
        <v>36.825200000000002</v>
      </c>
      <c r="GX21" s="11"/>
      <c r="GY21" s="11"/>
      <c r="GZ21" s="10">
        <v>0.80195000000000005</v>
      </c>
      <c r="HA21" s="10">
        <v>593.50250000000005</v>
      </c>
      <c r="HB21" s="10">
        <v>38.751300000000001</v>
      </c>
      <c r="HC21" s="10">
        <v>604.36210000000005</v>
      </c>
      <c r="HD21" s="10">
        <v>4735.3662999999997</v>
      </c>
      <c r="HE21" s="10">
        <v>5.6395999999999997</v>
      </c>
      <c r="HF21" s="10">
        <v>98.498999999999995</v>
      </c>
      <c r="HG21" s="10">
        <v>5.1296000000000001E-2</v>
      </c>
      <c r="HH21" s="10">
        <v>63.650100000000002</v>
      </c>
      <c r="HI21" s="10">
        <v>15.250999999999999</v>
      </c>
      <c r="HJ21" s="11"/>
      <c r="HK21" s="11"/>
      <c r="HL21" s="10">
        <v>2.9780000000000002</v>
      </c>
      <c r="HM21" s="10">
        <v>3.7349000000000001</v>
      </c>
      <c r="HN21" s="10">
        <v>9.2843999999999998</v>
      </c>
      <c r="HO21" s="10">
        <f t="shared" si="0"/>
        <v>17835.079798000002</v>
      </c>
      <c r="HP21" s="10">
        <f t="shared" si="1"/>
        <v>17.835079798000002</v>
      </c>
      <c r="HQ21" s="10">
        <f t="shared" si="2"/>
        <v>4.8636705203163357</v>
      </c>
      <c r="HR21" s="11"/>
      <c r="HS21" s="11"/>
      <c r="HT21" s="11"/>
      <c r="HU21" s="11"/>
      <c r="HV21" s="11"/>
      <c r="HW21" s="11"/>
    </row>
    <row r="22" spans="1:231" ht="19.95" customHeight="1">
      <c r="A22" s="8">
        <v>1978</v>
      </c>
      <c r="B22" s="9">
        <v>2.1536</v>
      </c>
      <c r="C22" s="10">
        <v>6.4889000000000001</v>
      </c>
      <c r="D22" s="10">
        <v>62.455300000000001</v>
      </c>
      <c r="E22" s="11"/>
      <c r="F22" s="10">
        <v>5.3997999999999999</v>
      </c>
      <c r="G22" s="11"/>
      <c r="H22" s="10">
        <v>0.49098000000000003</v>
      </c>
      <c r="I22" s="10">
        <v>102.5561</v>
      </c>
      <c r="J22" s="10">
        <v>16.7895</v>
      </c>
      <c r="K22" s="10">
        <v>0.54229000000000005</v>
      </c>
      <c r="L22" s="10">
        <v>201.8202</v>
      </c>
      <c r="M22" s="10">
        <v>57.227200000000003</v>
      </c>
      <c r="N22" s="10">
        <v>48.015500000000003</v>
      </c>
      <c r="O22" s="10">
        <v>6.5970000000000004</v>
      </c>
      <c r="P22" s="10">
        <v>7.7603999999999997</v>
      </c>
      <c r="Q22" s="10">
        <v>5.9843999999999999</v>
      </c>
      <c r="R22" s="10">
        <v>0.63021000000000005</v>
      </c>
      <c r="S22" s="10">
        <v>104.8783</v>
      </c>
      <c r="T22" s="10">
        <v>135.45099999999999</v>
      </c>
      <c r="U22" s="10">
        <v>0.21618000000000001</v>
      </c>
      <c r="V22" s="10">
        <v>0.36274000000000001</v>
      </c>
      <c r="W22" s="10">
        <v>0.42502000000000001</v>
      </c>
      <c r="X22" s="10">
        <v>1.0992E-2</v>
      </c>
      <c r="Y22" s="10">
        <v>5.0201000000000002</v>
      </c>
      <c r="Z22" s="10">
        <v>0.41261999999999999</v>
      </c>
      <c r="AA22" s="10">
        <v>15.094099999999999</v>
      </c>
      <c r="AB22" s="10">
        <v>0.83172999999999997</v>
      </c>
      <c r="AC22" s="10">
        <v>175.9315</v>
      </c>
      <c r="AD22" s="10">
        <v>2.9312000000000001E-2</v>
      </c>
      <c r="AE22" s="10">
        <v>9.5336999999999996</v>
      </c>
      <c r="AF22" s="10">
        <v>81.207099999999997</v>
      </c>
      <c r="AG22" s="10">
        <v>0.34808</v>
      </c>
      <c r="AH22" s="10">
        <v>0.10259</v>
      </c>
      <c r="AI22" s="10">
        <v>5.1138999999999997E-2</v>
      </c>
      <c r="AJ22" s="10">
        <v>1.9932000000000001</v>
      </c>
      <c r="AK22" s="10">
        <v>415.50540000000001</v>
      </c>
      <c r="AL22" s="10">
        <v>0.20854</v>
      </c>
      <c r="AM22" s="11"/>
      <c r="AN22" s="10">
        <v>0.14656</v>
      </c>
      <c r="AO22" s="10">
        <v>0.19419</v>
      </c>
      <c r="AP22" s="10">
        <v>22.836400000000001</v>
      </c>
      <c r="AQ22" s="10">
        <v>1455.2574999999999</v>
      </c>
      <c r="AR22" s="10">
        <v>41.534199999999998</v>
      </c>
      <c r="AS22" s="10">
        <v>2.9312000000000001E-2</v>
      </c>
      <c r="AT22" s="10">
        <v>0.32242999999999999</v>
      </c>
      <c r="AU22" s="10">
        <v>2.9312000000000001E-2</v>
      </c>
      <c r="AV22" s="10">
        <v>2.9119999999999999</v>
      </c>
      <c r="AW22" s="10">
        <v>4.8144999999999998</v>
      </c>
      <c r="AX22" s="10">
        <v>16.324000000000002</v>
      </c>
      <c r="AY22" s="10">
        <v>30.6191</v>
      </c>
      <c r="AZ22" s="10">
        <v>7.8396999999999997</v>
      </c>
      <c r="BA22" s="10">
        <v>2.8445</v>
      </c>
      <c r="BB22" s="10">
        <v>187.49340000000001</v>
      </c>
      <c r="BC22" s="10">
        <v>3.5259999999999998</v>
      </c>
      <c r="BD22" s="10">
        <v>61.095799999999997</v>
      </c>
      <c r="BE22" s="10">
        <v>0.20152</v>
      </c>
      <c r="BF22" s="10">
        <v>2.5648000000000001E-2</v>
      </c>
      <c r="BG22" s="10">
        <v>5.4302999999999999</v>
      </c>
      <c r="BH22" s="10">
        <v>10.4064</v>
      </c>
      <c r="BI22" s="10">
        <v>39.261000000000003</v>
      </c>
      <c r="BJ22" s="10">
        <v>2.3814000000000002</v>
      </c>
      <c r="BK22" s="10">
        <v>6.9615999999999997E-2</v>
      </c>
      <c r="BL22" s="11"/>
      <c r="BM22" s="10">
        <v>30.047499999999999</v>
      </c>
      <c r="BN22" s="10">
        <v>1.3685</v>
      </c>
      <c r="BO22" s="10">
        <v>0.39938000000000001</v>
      </c>
      <c r="BP22" s="11"/>
      <c r="BQ22" s="10">
        <v>0.70908000000000004</v>
      </c>
      <c r="BR22" s="10">
        <v>51.825200000000002</v>
      </c>
      <c r="BS22" s="10">
        <v>506.7407</v>
      </c>
      <c r="BT22" s="11"/>
      <c r="BU22" s="10">
        <v>0.31143999999999999</v>
      </c>
      <c r="BV22" s="10">
        <v>7.5548999999999999</v>
      </c>
      <c r="BW22" s="10">
        <v>0.13922999999999999</v>
      </c>
      <c r="BX22" s="10">
        <v>25.561</v>
      </c>
      <c r="BY22" s="10">
        <v>1079.1271999999999</v>
      </c>
      <c r="BZ22" s="10">
        <v>2.9573999999999998</v>
      </c>
      <c r="CA22" s="11"/>
      <c r="CB22" s="10">
        <v>47.677799999999998</v>
      </c>
      <c r="CC22" s="10">
        <v>0.39205000000000001</v>
      </c>
      <c r="CD22" s="10">
        <v>5.1296000000000001E-2</v>
      </c>
      <c r="CE22" s="11"/>
      <c r="CF22" s="10">
        <v>4.1170999999999998</v>
      </c>
      <c r="CG22" s="10">
        <v>0.90134000000000003</v>
      </c>
      <c r="CH22" s="10">
        <v>0.10259</v>
      </c>
      <c r="CI22" s="10">
        <v>2.0554999999999999</v>
      </c>
      <c r="CJ22" s="10">
        <v>0.75063999999999997</v>
      </c>
      <c r="CK22" s="10">
        <v>2.0436999999999999</v>
      </c>
      <c r="CL22" s="10">
        <v>15.7141</v>
      </c>
      <c r="CM22" s="10">
        <v>88.046099999999996</v>
      </c>
      <c r="CN22" s="10">
        <v>1.9200999999999999</v>
      </c>
      <c r="CO22" s="10">
        <v>263.47730000000001</v>
      </c>
      <c r="CP22" s="10">
        <v>93.938199999999995</v>
      </c>
      <c r="CQ22" s="10">
        <v>162.10390000000001</v>
      </c>
      <c r="CR22" s="10">
        <v>42.193100000000001</v>
      </c>
      <c r="CS22" s="10">
        <v>23.5791</v>
      </c>
      <c r="CT22" s="10">
        <v>21.031600000000001</v>
      </c>
      <c r="CU22" s="10">
        <v>371.27420000000001</v>
      </c>
      <c r="CV22" s="10">
        <v>9.1120000000000001</v>
      </c>
      <c r="CW22" s="10">
        <v>901.59140000000002</v>
      </c>
      <c r="CX22" s="10">
        <v>3.6273</v>
      </c>
      <c r="CY22" s="10">
        <v>210.2611</v>
      </c>
      <c r="CZ22" s="10">
        <v>5.2968000000000002</v>
      </c>
      <c r="DA22" s="10">
        <v>2.1984E-2</v>
      </c>
      <c r="DB22" s="11"/>
      <c r="DC22" s="10">
        <v>20.971599999999999</v>
      </c>
      <c r="DD22" s="10">
        <v>19.4664</v>
      </c>
      <c r="DE22" s="10">
        <v>0.23083000000000001</v>
      </c>
      <c r="DF22" s="10">
        <v>15.5166</v>
      </c>
      <c r="DG22" s="10">
        <v>5.4958999999999998</v>
      </c>
      <c r="DH22" s="11"/>
      <c r="DI22" s="10">
        <v>1.5032000000000001</v>
      </c>
      <c r="DJ22" s="10">
        <v>21.1554</v>
      </c>
      <c r="DK22" s="11"/>
      <c r="DL22" s="10">
        <v>29.172499999999999</v>
      </c>
      <c r="DM22" s="10">
        <v>11.8874</v>
      </c>
      <c r="DN22" s="10">
        <v>0.41403000000000001</v>
      </c>
      <c r="DO22" s="10">
        <v>1.0172000000000001</v>
      </c>
      <c r="DP22" s="10">
        <v>0.66835999999999995</v>
      </c>
      <c r="DQ22" s="10">
        <v>23.260300000000001</v>
      </c>
      <c r="DR22" s="10">
        <v>2.1984E-2</v>
      </c>
      <c r="DS22" s="10">
        <v>0.39495000000000002</v>
      </c>
      <c r="DT22" s="10">
        <v>0.93432000000000004</v>
      </c>
      <c r="DU22" s="11"/>
      <c r="DV22" s="11"/>
      <c r="DW22" s="10">
        <v>0.58257999999999999</v>
      </c>
      <c r="DX22" s="10">
        <v>0.63021000000000005</v>
      </c>
      <c r="DY22" s="10">
        <v>222.16730000000001</v>
      </c>
      <c r="DZ22" s="11"/>
      <c r="EA22" s="10">
        <v>25.139700000000001</v>
      </c>
      <c r="EB22" s="10">
        <v>5.7637999999999998</v>
      </c>
      <c r="EC22" s="10">
        <v>1.4902</v>
      </c>
      <c r="ED22" s="10">
        <v>2.5648000000000001E-2</v>
      </c>
      <c r="EE22" s="10">
        <v>13.0535</v>
      </c>
      <c r="EF22" s="10">
        <v>2.8658000000000001</v>
      </c>
      <c r="EG22" s="10">
        <v>5.1460999999999997</v>
      </c>
      <c r="EH22" s="11"/>
      <c r="EI22" s="10">
        <v>0.11358</v>
      </c>
      <c r="EJ22" s="10">
        <v>0.32897999999999999</v>
      </c>
      <c r="EK22" s="10">
        <v>169.79320000000001</v>
      </c>
      <c r="EL22" s="10">
        <v>1.5412999999999999</v>
      </c>
      <c r="EM22" s="10">
        <v>18.024100000000001</v>
      </c>
      <c r="EN22" s="10">
        <v>2.6274999999999999</v>
      </c>
      <c r="EO22" s="10">
        <v>0.41677999999999998</v>
      </c>
      <c r="EP22" s="10">
        <v>48.222900000000003</v>
      </c>
      <c r="EQ22" s="10">
        <v>3.6640000000000002E-3</v>
      </c>
      <c r="ER22" s="10">
        <v>108.2129</v>
      </c>
      <c r="ES22" s="10">
        <v>11.036199999999999</v>
      </c>
      <c r="ET22" s="10">
        <v>32.7134</v>
      </c>
      <c r="EU22" s="11"/>
      <c r="EV22" s="10">
        <v>7.7896999999999998</v>
      </c>
      <c r="EW22" s="10">
        <v>26.050599999999999</v>
      </c>
      <c r="EX22" s="11"/>
      <c r="EY22" s="10">
        <v>2.8346</v>
      </c>
      <c r="EZ22" s="10">
        <v>1.6744000000000001</v>
      </c>
      <c r="FA22" s="10">
        <v>1.4539</v>
      </c>
      <c r="FB22" s="10">
        <v>22.416899999999998</v>
      </c>
      <c r="FC22" s="10">
        <v>37.380200000000002</v>
      </c>
      <c r="FD22" s="10">
        <v>430.87009999999998</v>
      </c>
      <c r="FE22" s="10">
        <v>22.584900000000001</v>
      </c>
      <c r="FF22" s="10">
        <v>10.519</v>
      </c>
      <c r="FG22" s="10">
        <v>0.28621000000000002</v>
      </c>
      <c r="FH22" s="11"/>
      <c r="FI22" s="10">
        <v>193.5394</v>
      </c>
      <c r="FJ22" s="10">
        <v>2034.8064999999999</v>
      </c>
      <c r="FK22" s="10">
        <v>0.28946</v>
      </c>
      <c r="FL22" s="11"/>
      <c r="FM22" s="11"/>
      <c r="FN22" s="10">
        <v>9.8928000000000002E-2</v>
      </c>
      <c r="FO22" s="10">
        <v>3.2975999999999998E-2</v>
      </c>
      <c r="FP22" s="10">
        <v>3.6639999999999999E-2</v>
      </c>
      <c r="FQ22" s="10">
        <v>0.10625999999999999</v>
      </c>
      <c r="FR22" s="10">
        <v>3.2975999999999998E-2</v>
      </c>
      <c r="FS22" s="10">
        <v>115.0243</v>
      </c>
      <c r="FT22" s="10">
        <v>2.6196000000000002</v>
      </c>
      <c r="FU22" s="10">
        <v>43.820900000000002</v>
      </c>
      <c r="FV22" s="10">
        <v>7.6943999999999999E-2</v>
      </c>
      <c r="FW22" s="10">
        <v>0.71082000000000001</v>
      </c>
      <c r="FX22" s="10">
        <v>33.108199999999997</v>
      </c>
      <c r="FY22" s="10">
        <v>59.975299999999997</v>
      </c>
      <c r="FZ22" s="10">
        <v>12.3979</v>
      </c>
      <c r="GA22" s="10">
        <v>6.2288000000000003E-2</v>
      </c>
      <c r="GB22" s="10">
        <v>0.55693000000000004</v>
      </c>
      <c r="GC22" s="10">
        <v>201.89080000000001</v>
      </c>
      <c r="GD22" s="10">
        <v>113.40170000000001</v>
      </c>
      <c r="GE22" s="10">
        <v>199.51349999999999</v>
      </c>
      <c r="GF22" s="10">
        <v>3.4355000000000002</v>
      </c>
      <c r="GG22" s="10">
        <v>3.1467999999999998</v>
      </c>
      <c r="GH22" s="10">
        <v>2.3919000000000001</v>
      </c>
      <c r="GI22" s="10">
        <v>0.43968000000000002</v>
      </c>
      <c r="GJ22" s="10">
        <v>79.476900000000001</v>
      </c>
      <c r="GK22" s="10">
        <v>42.169800000000002</v>
      </c>
      <c r="GL22" s="10">
        <v>15.1814</v>
      </c>
      <c r="GM22" s="10">
        <v>70.836200000000005</v>
      </c>
      <c r="GN22" s="10">
        <v>9.3522999999999996</v>
      </c>
      <c r="GO22" s="10">
        <v>2.1972999999999998</v>
      </c>
      <c r="GP22" s="10">
        <v>34.947000000000003</v>
      </c>
      <c r="GQ22" s="11"/>
      <c r="GR22" s="10">
        <v>0.35541</v>
      </c>
      <c r="GS22" s="10">
        <v>3.6639999999999999E-2</v>
      </c>
      <c r="GT22" s="10">
        <v>15.3119</v>
      </c>
      <c r="GU22" s="10">
        <v>7.4779</v>
      </c>
      <c r="GV22" s="10">
        <v>76.713999999999999</v>
      </c>
      <c r="GW22" s="10">
        <v>38.082000000000001</v>
      </c>
      <c r="GX22" s="11"/>
      <c r="GY22" s="11"/>
      <c r="GZ22" s="10">
        <v>0.69515000000000005</v>
      </c>
      <c r="HA22" s="10">
        <v>613.76790000000005</v>
      </c>
      <c r="HB22" s="10">
        <v>44.753599999999999</v>
      </c>
      <c r="HC22" s="10">
        <v>604.71400000000006</v>
      </c>
      <c r="HD22" s="10">
        <v>4882.9639999999999</v>
      </c>
      <c r="HE22" s="10">
        <v>5.7293000000000003</v>
      </c>
      <c r="HF22" s="10">
        <v>101.8351</v>
      </c>
      <c r="HG22" s="10">
        <v>5.8624000000000002E-2</v>
      </c>
      <c r="HH22" s="10">
        <v>68.591399999999993</v>
      </c>
      <c r="HI22" s="10">
        <v>15.388999999999999</v>
      </c>
      <c r="HJ22" s="11"/>
      <c r="HK22" s="11"/>
      <c r="HL22" s="10">
        <v>3.1021000000000001</v>
      </c>
      <c r="HM22" s="10">
        <v>3.4708999999999999</v>
      </c>
      <c r="HN22" s="10">
        <v>9.2797000000000001</v>
      </c>
      <c r="HO22" s="10">
        <f t="shared" si="0"/>
        <v>18500.017893</v>
      </c>
      <c r="HP22" s="10">
        <f t="shared" si="1"/>
        <v>18.500017892999999</v>
      </c>
      <c r="HQ22" s="10">
        <f t="shared" si="2"/>
        <v>5.0450007889282791</v>
      </c>
      <c r="HR22" s="11"/>
      <c r="HS22" s="11"/>
      <c r="HT22" s="11"/>
      <c r="HU22" s="11"/>
      <c r="HV22" s="11"/>
      <c r="HW22" s="11"/>
    </row>
    <row r="23" spans="1:231" ht="19.95" customHeight="1">
      <c r="A23" s="8">
        <v>1979</v>
      </c>
      <c r="B23" s="9">
        <v>2.2332000000000001</v>
      </c>
      <c r="C23" s="10">
        <v>7.5808</v>
      </c>
      <c r="D23" s="10">
        <v>45.5456</v>
      </c>
      <c r="E23" s="11"/>
      <c r="F23" s="10">
        <v>5.4892000000000003</v>
      </c>
      <c r="G23" s="11"/>
      <c r="H23" s="10">
        <v>0.40670000000000001</v>
      </c>
      <c r="I23" s="10">
        <v>110.6168</v>
      </c>
      <c r="J23" s="10">
        <v>16.930499999999999</v>
      </c>
      <c r="K23" s="10">
        <v>0.56886999999999999</v>
      </c>
      <c r="L23" s="10">
        <v>204.86959999999999</v>
      </c>
      <c r="M23" s="10">
        <v>61.322099999999999</v>
      </c>
      <c r="N23" s="10">
        <v>48.4129</v>
      </c>
      <c r="O23" s="10">
        <v>6.9157000000000002</v>
      </c>
      <c r="P23" s="10">
        <v>8.1267999999999994</v>
      </c>
      <c r="Q23" s="10">
        <v>6.6125999999999996</v>
      </c>
      <c r="R23" s="10">
        <v>0.60089999999999999</v>
      </c>
      <c r="S23" s="10">
        <v>105.73569999999999</v>
      </c>
      <c r="T23" s="10">
        <v>139.78729999999999</v>
      </c>
      <c r="U23" s="10">
        <v>0.20885000000000001</v>
      </c>
      <c r="V23" s="10">
        <v>0.3664</v>
      </c>
      <c r="W23" s="10">
        <v>0.46166000000000001</v>
      </c>
      <c r="X23" s="10">
        <v>2.1984E-2</v>
      </c>
      <c r="Y23" s="10">
        <v>4.7301000000000002</v>
      </c>
      <c r="Z23" s="10">
        <v>0.43284</v>
      </c>
      <c r="AA23" s="10">
        <v>16.416799999999999</v>
      </c>
      <c r="AB23" s="10">
        <v>0.94164999999999999</v>
      </c>
      <c r="AC23" s="10">
        <v>187.1551</v>
      </c>
      <c r="AD23" s="10">
        <v>2.9312000000000001E-2</v>
      </c>
      <c r="AE23" s="10">
        <v>7.4343000000000004</v>
      </c>
      <c r="AF23" s="10">
        <v>78.927899999999994</v>
      </c>
      <c r="AG23" s="10">
        <v>0.40670000000000001</v>
      </c>
      <c r="AH23" s="10">
        <v>0.10992</v>
      </c>
      <c r="AI23" s="10">
        <v>2.9312000000000001E-2</v>
      </c>
      <c r="AJ23" s="10">
        <v>1.8152999999999999</v>
      </c>
      <c r="AK23" s="10">
        <v>441.64690000000002</v>
      </c>
      <c r="AL23" s="10">
        <v>0.24915000000000001</v>
      </c>
      <c r="AM23" s="11"/>
      <c r="AN23" s="10">
        <v>0.10259</v>
      </c>
      <c r="AO23" s="10">
        <v>0.20152</v>
      </c>
      <c r="AP23" s="10">
        <v>24.7224</v>
      </c>
      <c r="AQ23" s="10">
        <v>1487.1131</v>
      </c>
      <c r="AR23" s="10">
        <v>44.2669</v>
      </c>
      <c r="AS23" s="10">
        <v>2.1984E-2</v>
      </c>
      <c r="AT23" s="10">
        <v>0.34808</v>
      </c>
      <c r="AU23" s="10">
        <v>2.5648000000000001E-2</v>
      </c>
      <c r="AV23" s="10">
        <v>2.7810000000000001</v>
      </c>
      <c r="AW23" s="10">
        <v>5.4191000000000003</v>
      </c>
      <c r="AX23" s="10">
        <v>17.758900000000001</v>
      </c>
      <c r="AY23" s="10">
        <v>31.632100000000001</v>
      </c>
      <c r="AZ23" s="10">
        <v>8.2240000000000002</v>
      </c>
      <c r="BA23" s="10">
        <v>3.0448</v>
      </c>
      <c r="BB23" s="10">
        <v>182.57579999999999</v>
      </c>
      <c r="BC23" s="10">
        <v>3.7401</v>
      </c>
      <c r="BD23" s="10">
        <v>62.977600000000002</v>
      </c>
      <c r="BE23" s="10">
        <v>0.36274000000000001</v>
      </c>
      <c r="BF23" s="10">
        <v>3.2975999999999998E-2</v>
      </c>
      <c r="BG23" s="10">
        <v>6.7855999999999996</v>
      </c>
      <c r="BH23" s="10">
        <v>12.140499999999999</v>
      </c>
      <c r="BI23" s="10">
        <v>42.889499999999998</v>
      </c>
      <c r="BJ23" s="10">
        <v>2.3767</v>
      </c>
      <c r="BK23" s="10">
        <v>6.2288000000000003E-2</v>
      </c>
      <c r="BL23" s="11"/>
      <c r="BM23" s="10">
        <v>30.305099999999999</v>
      </c>
      <c r="BN23" s="10">
        <v>1.8441000000000001</v>
      </c>
      <c r="BO23" s="10">
        <v>0.47998000000000002</v>
      </c>
      <c r="BP23" s="11"/>
      <c r="BQ23" s="10">
        <v>0.83645999999999998</v>
      </c>
      <c r="BR23" s="10">
        <v>54.237200000000001</v>
      </c>
      <c r="BS23" s="10">
        <v>530.28070000000002</v>
      </c>
      <c r="BT23" s="11"/>
      <c r="BU23" s="10">
        <v>0.28212999999999999</v>
      </c>
      <c r="BV23" s="10">
        <v>6.7468000000000004</v>
      </c>
      <c r="BW23" s="10">
        <v>0.14656</v>
      </c>
      <c r="BX23" s="10">
        <v>25.770399999999999</v>
      </c>
      <c r="BY23" s="10">
        <v>1117.8821</v>
      </c>
      <c r="BZ23" s="10">
        <v>2.6492</v>
      </c>
      <c r="CA23" s="11"/>
      <c r="CB23" s="10">
        <v>50.818300000000001</v>
      </c>
      <c r="CC23" s="10">
        <v>0.57157999999999998</v>
      </c>
      <c r="CD23" s="10">
        <v>4.7632000000000001E-2</v>
      </c>
      <c r="CE23" s="11"/>
      <c r="CF23" s="10">
        <v>4.6779999999999999</v>
      </c>
      <c r="CG23" s="10">
        <v>0.94530999999999998</v>
      </c>
      <c r="CH23" s="10">
        <v>0.10992</v>
      </c>
      <c r="CI23" s="10">
        <v>1.5206</v>
      </c>
      <c r="CJ23" s="10">
        <v>0.74990000000000001</v>
      </c>
      <c r="CK23" s="10">
        <v>1.9261999999999999</v>
      </c>
      <c r="CL23" s="10">
        <v>15.8376</v>
      </c>
      <c r="CM23" s="10">
        <v>86.081800000000001</v>
      </c>
      <c r="CN23" s="10">
        <v>1.9822</v>
      </c>
      <c r="CO23" s="10">
        <v>276.62369999999999</v>
      </c>
      <c r="CP23" s="10">
        <v>95.137100000000004</v>
      </c>
      <c r="CQ23" s="10">
        <v>163.67330000000001</v>
      </c>
      <c r="CR23" s="10">
        <v>52.823099999999997</v>
      </c>
      <c r="CS23" s="10">
        <v>27.402000000000001</v>
      </c>
      <c r="CT23" s="10">
        <v>20.8643</v>
      </c>
      <c r="CU23" s="10">
        <v>385.2559</v>
      </c>
      <c r="CV23" s="10">
        <v>8.5296000000000003</v>
      </c>
      <c r="CW23" s="10">
        <v>953.0729</v>
      </c>
      <c r="CX23" s="10">
        <v>3.7768999999999999</v>
      </c>
      <c r="CY23" s="10">
        <v>211.91630000000001</v>
      </c>
      <c r="CZ23" s="10">
        <v>5.0118999999999998</v>
      </c>
      <c r="DA23" s="10">
        <v>2.5648000000000001E-2</v>
      </c>
      <c r="DB23" s="11"/>
      <c r="DC23" s="10">
        <v>17.627700000000001</v>
      </c>
      <c r="DD23" s="10">
        <v>19.626000000000001</v>
      </c>
      <c r="DE23" s="10">
        <v>0.2235</v>
      </c>
      <c r="DF23" s="10">
        <v>15.648400000000001</v>
      </c>
      <c r="DG23" s="10">
        <v>5.7851999999999997</v>
      </c>
      <c r="DH23" s="11"/>
      <c r="DI23" s="10">
        <v>1.9419</v>
      </c>
      <c r="DJ23" s="10">
        <v>25.926400000000001</v>
      </c>
      <c r="DK23" s="11"/>
      <c r="DL23" s="10">
        <v>29.435400000000001</v>
      </c>
      <c r="DM23" s="10">
        <v>12.1698</v>
      </c>
      <c r="DN23" s="10">
        <v>0.41403000000000001</v>
      </c>
      <c r="DO23" s="10">
        <v>1.1302000000000001</v>
      </c>
      <c r="DP23" s="10">
        <v>0.63483999999999996</v>
      </c>
      <c r="DQ23" s="10">
        <v>27.305800000000001</v>
      </c>
      <c r="DR23" s="10">
        <v>2.9312000000000001E-2</v>
      </c>
      <c r="DS23" s="10">
        <v>0.42791000000000001</v>
      </c>
      <c r="DT23" s="10">
        <v>0.90500999999999998</v>
      </c>
      <c r="DU23" s="11"/>
      <c r="DV23" s="11"/>
      <c r="DW23" s="10">
        <v>0.60455999999999999</v>
      </c>
      <c r="DX23" s="10">
        <v>0.65952</v>
      </c>
      <c r="DY23" s="10">
        <v>240.32069999999999</v>
      </c>
      <c r="DZ23" s="11"/>
      <c r="EA23" s="10">
        <v>25.346800000000002</v>
      </c>
      <c r="EB23" s="10">
        <v>6.2773000000000003</v>
      </c>
      <c r="EC23" s="10">
        <v>1.6209</v>
      </c>
      <c r="ED23" s="10">
        <v>2.5648000000000001E-2</v>
      </c>
      <c r="EE23" s="10">
        <v>15.9312</v>
      </c>
      <c r="EF23" s="10">
        <v>2.6345999999999998</v>
      </c>
      <c r="EG23" s="10">
        <v>5.0860000000000003</v>
      </c>
      <c r="EH23" s="11"/>
      <c r="EI23" s="10">
        <v>0.11358</v>
      </c>
      <c r="EJ23" s="10">
        <v>0.51236000000000004</v>
      </c>
      <c r="EK23" s="10">
        <v>187.00720000000001</v>
      </c>
      <c r="EL23" s="10">
        <v>1.6398999999999999</v>
      </c>
      <c r="EM23" s="10">
        <v>16.494499999999999</v>
      </c>
      <c r="EN23" s="10">
        <v>1.7093</v>
      </c>
      <c r="EO23" s="10">
        <v>0.47900999999999999</v>
      </c>
      <c r="EP23" s="10">
        <v>70.185599999999994</v>
      </c>
      <c r="EQ23" s="10">
        <v>3.6640000000000002E-3</v>
      </c>
      <c r="ER23" s="10">
        <v>110.26300000000001</v>
      </c>
      <c r="ES23" s="10">
        <v>12.004099999999999</v>
      </c>
      <c r="ET23" s="10">
        <v>34.738</v>
      </c>
      <c r="EU23" s="11"/>
      <c r="EV23" s="10">
        <v>7.7164000000000001</v>
      </c>
      <c r="EW23" s="10">
        <v>28.134499999999999</v>
      </c>
      <c r="EX23" s="11"/>
      <c r="EY23" s="10">
        <v>3.1808000000000001</v>
      </c>
      <c r="EZ23" s="10">
        <v>1.7954000000000001</v>
      </c>
      <c r="FA23" s="10">
        <v>1.3257000000000001</v>
      </c>
      <c r="FB23" s="10">
        <v>22.218599999999999</v>
      </c>
      <c r="FC23" s="10">
        <v>38.030999999999999</v>
      </c>
      <c r="FD23" s="10">
        <v>441.30860000000001</v>
      </c>
      <c r="FE23" s="10">
        <v>24.855699999999999</v>
      </c>
      <c r="FF23" s="10">
        <v>14.3424</v>
      </c>
      <c r="FG23" s="10">
        <v>0.29719000000000001</v>
      </c>
      <c r="FH23" s="11"/>
      <c r="FI23" s="10">
        <v>195.6764</v>
      </c>
      <c r="FJ23" s="10">
        <v>2051.6149</v>
      </c>
      <c r="FK23" s="10">
        <v>0.29677999999999999</v>
      </c>
      <c r="FL23" s="11"/>
      <c r="FM23" s="11"/>
      <c r="FN23" s="10">
        <v>0.15021999999999999</v>
      </c>
      <c r="FO23" s="10">
        <v>3.6639999999999999E-2</v>
      </c>
      <c r="FP23" s="10">
        <v>2.9312000000000001E-2</v>
      </c>
      <c r="FQ23" s="10">
        <v>9.5264000000000001E-2</v>
      </c>
      <c r="FR23" s="10">
        <v>3.2975999999999998E-2</v>
      </c>
      <c r="FS23" s="10">
        <v>138.0043</v>
      </c>
      <c r="FT23" s="10">
        <v>2.8881000000000001</v>
      </c>
      <c r="FU23" s="10">
        <v>47.647599999999997</v>
      </c>
      <c r="FV23" s="10">
        <v>0.12091</v>
      </c>
      <c r="FW23" s="10">
        <v>0.67784</v>
      </c>
      <c r="FX23" s="10">
        <v>36.057299999999998</v>
      </c>
      <c r="FY23" s="10">
        <v>58.418799999999997</v>
      </c>
      <c r="FZ23" s="10">
        <v>13.482699999999999</v>
      </c>
      <c r="GA23" s="10">
        <v>0.10992</v>
      </c>
      <c r="GB23" s="10">
        <v>0.48731000000000002</v>
      </c>
      <c r="GC23" s="10">
        <v>218.6841</v>
      </c>
      <c r="GD23" s="10">
        <v>133.21889999999999</v>
      </c>
      <c r="GE23" s="10">
        <v>202.74619999999999</v>
      </c>
      <c r="GF23" s="10">
        <v>3.8090000000000002</v>
      </c>
      <c r="GG23" s="10">
        <v>3.2669000000000001</v>
      </c>
      <c r="GH23" s="10">
        <v>2.2928000000000002</v>
      </c>
      <c r="GI23" s="10">
        <v>0.44701000000000002</v>
      </c>
      <c r="GJ23" s="10">
        <v>84.869100000000003</v>
      </c>
      <c r="GK23" s="10">
        <v>39.8645</v>
      </c>
      <c r="GL23" s="10">
        <v>22.4846</v>
      </c>
      <c r="GM23" s="10">
        <v>75.499200000000002</v>
      </c>
      <c r="GN23" s="10">
        <v>9.4291999999999998</v>
      </c>
      <c r="GO23" s="10">
        <v>2.0628000000000002</v>
      </c>
      <c r="GP23" s="10">
        <v>36.586500000000001</v>
      </c>
      <c r="GQ23" s="11"/>
      <c r="GR23" s="10">
        <v>1.3813</v>
      </c>
      <c r="GS23" s="10">
        <v>4.0304E-2</v>
      </c>
      <c r="GT23" s="10">
        <v>16.707100000000001</v>
      </c>
      <c r="GU23" s="10">
        <v>8.7502999999999993</v>
      </c>
      <c r="GV23" s="10">
        <v>75.037999999999997</v>
      </c>
      <c r="GW23" s="10">
        <v>38.390099999999997</v>
      </c>
      <c r="GX23" s="11"/>
      <c r="GY23" s="11"/>
      <c r="GZ23" s="10">
        <v>0.67086000000000001</v>
      </c>
      <c r="HA23" s="10">
        <v>618.74490000000003</v>
      </c>
      <c r="HB23" s="10">
        <v>36.546500000000002</v>
      </c>
      <c r="HC23" s="10">
        <v>644.51329999999996</v>
      </c>
      <c r="HD23" s="10">
        <v>4894.0429000000004</v>
      </c>
      <c r="HE23" s="10">
        <v>6.2624000000000004</v>
      </c>
      <c r="HF23" s="10">
        <v>102.6365</v>
      </c>
      <c r="HG23" s="10">
        <v>6.2288000000000003E-2</v>
      </c>
      <c r="HH23" s="10">
        <v>76.447400000000002</v>
      </c>
      <c r="HI23" s="10">
        <v>16.2484</v>
      </c>
      <c r="HJ23" s="11"/>
      <c r="HK23" s="11"/>
      <c r="HL23" s="10">
        <v>3.2185000000000001</v>
      </c>
      <c r="HM23" s="10">
        <v>3.5964999999999998</v>
      </c>
      <c r="HN23" s="10">
        <v>9.4316999999999993</v>
      </c>
      <c r="HO23" s="10">
        <f t="shared" si="0"/>
        <v>19003.500262000005</v>
      </c>
      <c r="HP23" s="10">
        <f t="shared" si="1"/>
        <v>19.003500262000006</v>
      </c>
      <c r="HQ23" s="10">
        <f t="shared" si="2"/>
        <v>5.182301680392694</v>
      </c>
      <c r="HR23" s="11"/>
      <c r="HS23" s="11"/>
      <c r="HT23" s="11"/>
      <c r="HU23" s="11"/>
      <c r="HV23" s="11"/>
      <c r="HW23" s="11"/>
    </row>
    <row r="24" spans="1:231" ht="19.95" customHeight="1">
      <c r="A24" s="8">
        <v>1980</v>
      </c>
      <c r="B24" s="9">
        <v>1.7565</v>
      </c>
      <c r="C24" s="10">
        <v>5.1661999999999999</v>
      </c>
      <c r="D24" s="10">
        <v>66.416499999999999</v>
      </c>
      <c r="E24" s="11"/>
      <c r="F24" s="10">
        <v>5.3343999999999996</v>
      </c>
      <c r="G24" s="11"/>
      <c r="H24" s="10">
        <v>0.1429</v>
      </c>
      <c r="I24" s="10">
        <v>108.65689999999999</v>
      </c>
      <c r="J24" s="10">
        <v>17.599799999999998</v>
      </c>
      <c r="K24" s="10">
        <v>0.58543000000000001</v>
      </c>
      <c r="L24" s="10">
        <v>220.53100000000001</v>
      </c>
      <c r="M24" s="10">
        <v>52.025700000000001</v>
      </c>
      <c r="N24" s="10">
        <v>50.318899999999999</v>
      </c>
      <c r="O24" s="10">
        <v>7.9721000000000002</v>
      </c>
      <c r="P24" s="10">
        <v>7.8813000000000004</v>
      </c>
      <c r="Q24" s="10">
        <v>7.5972</v>
      </c>
      <c r="R24" s="10">
        <v>0.67418</v>
      </c>
      <c r="S24" s="10">
        <v>109.884</v>
      </c>
      <c r="T24" s="10">
        <v>134.8366</v>
      </c>
      <c r="U24" s="10">
        <v>0.19053</v>
      </c>
      <c r="V24" s="10">
        <v>0.50746000000000002</v>
      </c>
      <c r="W24" s="10">
        <v>0.43602000000000002</v>
      </c>
      <c r="X24" s="10">
        <v>2.1984E-2</v>
      </c>
      <c r="Y24" s="10">
        <v>4.6589999999999998</v>
      </c>
      <c r="Z24" s="10">
        <v>0.44544</v>
      </c>
      <c r="AA24" s="10">
        <v>16.141500000000001</v>
      </c>
      <c r="AB24" s="10">
        <v>0.98562000000000005</v>
      </c>
      <c r="AC24" s="10">
        <v>185.75839999999999</v>
      </c>
      <c r="AD24" s="10">
        <v>2.9312000000000001E-2</v>
      </c>
      <c r="AE24" s="10">
        <v>6.8773</v>
      </c>
      <c r="AF24" s="10">
        <v>77.250600000000006</v>
      </c>
      <c r="AG24" s="10">
        <v>0.43235000000000001</v>
      </c>
      <c r="AH24" s="10">
        <v>0.14656</v>
      </c>
      <c r="AI24" s="10">
        <v>0.28578999999999999</v>
      </c>
      <c r="AJ24" s="10">
        <v>3.8858999999999999</v>
      </c>
      <c r="AK24" s="10">
        <v>442.81720000000001</v>
      </c>
      <c r="AL24" s="10">
        <v>0.12091</v>
      </c>
      <c r="AM24" s="11"/>
      <c r="AN24" s="10">
        <v>0.10625999999999999</v>
      </c>
      <c r="AO24" s="10">
        <v>0.20885000000000001</v>
      </c>
      <c r="AP24" s="10">
        <v>25.090499999999999</v>
      </c>
      <c r="AQ24" s="10">
        <v>1458.8867</v>
      </c>
      <c r="AR24" s="10">
        <v>44.174199999999999</v>
      </c>
      <c r="AS24" s="10">
        <v>4.7632000000000001E-2</v>
      </c>
      <c r="AT24" s="10">
        <v>0.40553</v>
      </c>
      <c r="AU24" s="10">
        <v>2.9312000000000001E-2</v>
      </c>
      <c r="AV24" s="10">
        <v>2.4485000000000001</v>
      </c>
      <c r="AW24" s="10">
        <v>5.5693000000000001</v>
      </c>
      <c r="AX24" s="10">
        <v>17.456700000000001</v>
      </c>
      <c r="AY24" s="10">
        <v>31.304300000000001</v>
      </c>
      <c r="AZ24" s="10">
        <v>8.4634999999999998</v>
      </c>
      <c r="BA24" s="10">
        <v>3.2599</v>
      </c>
      <c r="BB24" s="10">
        <v>184.69040000000001</v>
      </c>
      <c r="BC24" s="10">
        <v>3.4849999999999999</v>
      </c>
      <c r="BD24" s="10">
        <v>60.347900000000003</v>
      </c>
      <c r="BE24" s="10">
        <v>0.34808</v>
      </c>
      <c r="BF24" s="10">
        <v>3.6639999999999999E-2</v>
      </c>
      <c r="BG24" s="10">
        <v>6.4269999999999996</v>
      </c>
      <c r="BH24" s="10">
        <v>13.4072</v>
      </c>
      <c r="BI24" s="10">
        <v>45.176000000000002</v>
      </c>
      <c r="BJ24" s="10">
        <v>2.1194000000000002</v>
      </c>
      <c r="BK24" s="10">
        <v>5.8624000000000002E-2</v>
      </c>
      <c r="BL24" s="11"/>
      <c r="BM24" s="10">
        <v>31.513999999999999</v>
      </c>
      <c r="BN24" s="10">
        <v>1.8174999999999999</v>
      </c>
      <c r="BO24" s="10">
        <v>0.42136000000000001</v>
      </c>
      <c r="BP24" s="11"/>
      <c r="BQ24" s="10">
        <v>0.79242000000000001</v>
      </c>
      <c r="BR24" s="10">
        <v>58.139499999999998</v>
      </c>
      <c r="BS24" s="10">
        <v>506.255</v>
      </c>
      <c r="BT24" s="11"/>
      <c r="BU24" s="10">
        <v>0.29311999999999999</v>
      </c>
      <c r="BV24" s="10">
        <v>6.6246999999999998</v>
      </c>
      <c r="BW24" s="10">
        <v>0.15755</v>
      </c>
      <c r="BX24" s="10">
        <v>26.782800000000002</v>
      </c>
      <c r="BY24" s="10">
        <v>1100.0594000000001</v>
      </c>
      <c r="BZ24" s="10">
        <v>2.5480999999999998</v>
      </c>
      <c r="CA24" s="11"/>
      <c r="CB24" s="10">
        <v>50.888300000000001</v>
      </c>
      <c r="CC24" s="10">
        <v>0.56425999999999998</v>
      </c>
      <c r="CD24" s="10">
        <v>4.7632000000000001E-2</v>
      </c>
      <c r="CE24" s="11"/>
      <c r="CF24" s="10">
        <v>4.4926000000000004</v>
      </c>
      <c r="CG24" s="10">
        <v>0.96362999999999999</v>
      </c>
      <c r="CH24" s="10">
        <v>0.14656</v>
      </c>
      <c r="CI24" s="10">
        <v>1.788</v>
      </c>
      <c r="CJ24" s="10">
        <v>0.74507000000000001</v>
      </c>
      <c r="CK24" s="10">
        <v>2.0442999999999998</v>
      </c>
      <c r="CL24" s="10">
        <v>16.600200000000001</v>
      </c>
      <c r="CM24" s="10">
        <v>86.709000000000003</v>
      </c>
      <c r="CN24" s="10">
        <v>1.8609</v>
      </c>
      <c r="CO24" s="10">
        <v>292.08139999999997</v>
      </c>
      <c r="CP24" s="10">
        <v>94.873000000000005</v>
      </c>
      <c r="CQ24" s="10">
        <v>120.5645</v>
      </c>
      <c r="CR24" s="10">
        <v>45.358199999999997</v>
      </c>
      <c r="CS24" s="10">
        <v>26.270800000000001</v>
      </c>
      <c r="CT24" s="10">
        <v>20.984500000000001</v>
      </c>
      <c r="CU24" s="10">
        <v>386.43340000000001</v>
      </c>
      <c r="CV24" s="10">
        <v>8.4453999999999994</v>
      </c>
      <c r="CW24" s="10">
        <v>944.87030000000004</v>
      </c>
      <c r="CX24" s="10">
        <v>4.6958000000000002</v>
      </c>
      <c r="CY24" s="10">
        <v>220.17240000000001</v>
      </c>
      <c r="CZ24" s="10">
        <v>6.1515000000000004</v>
      </c>
      <c r="DA24" s="10">
        <v>2.9312000000000001E-2</v>
      </c>
      <c r="DB24" s="11"/>
      <c r="DC24" s="10">
        <v>24.616199999999999</v>
      </c>
      <c r="DD24" s="10">
        <v>20.396999999999998</v>
      </c>
      <c r="DE24" s="10">
        <v>0.18686</v>
      </c>
      <c r="DF24" s="10">
        <v>16.2685</v>
      </c>
      <c r="DG24" s="10">
        <v>5.8898000000000001</v>
      </c>
      <c r="DH24" s="11"/>
      <c r="DI24" s="10">
        <v>2.0375999999999999</v>
      </c>
      <c r="DJ24" s="10">
        <v>26.7806</v>
      </c>
      <c r="DK24" s="11"/>
      <c r="DL24" s="10">
        <v>30.622299999999999</v>
      </c>
      <c r="DM24" s="10">
        <v>11.082100000000001</v>
      </c>
      <c r="DN24" s="10">
        <v>0.52761999999999998</v>
      </c>
      <c r="DO24" s="10">
        <v>1.6138999999999999</v>
      </c>
      <c r="DP24" s="10">
        <v>0.70799999999999996</v>
      </c>
      <c r="DQ24" s="10">
        <v>28.032399999999999</v>
      </c>
      <c r="DR24" s="10">
        <v>4.3968E-2</v>
      </c>
      <c r="DS24" s="10">
        <v>0.39134000000000002</v>
      </c>
      <c r="DT24" s="10">
        <v>1.0223</v>
      </c>
      <c r="DU24" s="11"/>
      <c r="DV24" s="11"/>
      <c r="DW24" s="10">
        <v>0.63021000000000005</v>
      </c>
      <c r="DX24" s="10">
        <v>0.58989999999999998</v>
      </c>
      <c r="DY24" s="10">
        <v>267.8175</v>
      </c>
      <c r="DZ24" s="11"/>
      <c r="EA24" s="10">
        <v>26.343399999999999</v>
      </c>
      <c r="EB24" s="10">
        <v>6.8552</v>
      </c>
      <c r="EC24" s="10">
        <v>1.5939000000000001</v>
      </c>
      <c r="ED24" s="10">
        <v>1.4656000000000001E-2</v>
      </c>
      <c r="EE24" s="10">
        <v>15.9152</v>
      </c>
      <c r="EF24" s="10">
        <v>3.1985000000000001</v>
      </c>
      <c r="EG24" s="10">
        <v>5.5087999999999999</v>
      </c>
      <c r="EH24" s="11"/>
      <c r="EI24" s="10">
        <v>0.12458</v>
      </c>
      <c r="EJ24" s="10">
        <v>0.5413</v>
      </c>
      <c r="EK24" s="10">
        <v>176.6319</v>
      </c>
      <c r="EL24" s="10">
        <v>1.9985999999999999</v>
      </c>
      <c r="EM24" s="10">
        <v>17.478999999999999</v>
      </c>
      <c r="EN24" s="10">
        <v>2.0223</v>
      </c>
      <c r="EO24" s="10">
        <v>0.57016999999999995</v>
      </c>
      <c r="EP24" s="10">
        <v>68.035200000000003</v>
      </c>
      <c r="EQ24" s="10">
        <v>3.6640000000000002E-3</v>
      </c>
      <c r="ER24" s="10">
        <v>114.0822</v>
      </c>
      <c r="ES24" s="10">
        <v>11.803900000000001</v>
      </c>
      <c r="ET24" s="10">
        <v>31.8978</v>
      </c>
      <c r="EU24" s="11"/>
      <c r="EV24" s="10">
        <v>6.0419</v>
      </c>
      <c r="EW24" s="10">
        <v>31.9316</v>
      </c>
      <c r="EX24" s="11"/>
      <c r="EY24" s="10">
        <v>3.1076000000000001</v>
      </c>
      <c r="EZ24" s="10">
        <v>1.8283</v>
      </c>
      <c r="FA24" s="10">
        <v>1.4858</v>
      </c>
      <c r="FB24" s="10">
        <v>24.0627</v>
      </c>
      <c r="FC24" s="10">
        <v>36.868600000000001</v>
      </c>
      <c r="FD24" s="10">
        <v>463.32909999999998</v>
      </c>
      <c r="FE24" s="10">
        <v>26.773700000000002</v>
      </c>
      <c r="FF24" s="10">
        <v>13.0817</v>
      </c>
      <c r="FG24" s="10">
        <v>0.31184000000000001</v>
      </c>
      <c r="FH24" s="11"/>
      <c r="FI24" s="10">
        <v>196.19900000000001</v>
      </c>
      <c r="FJ24" s="10">
        <v>2132.3011000000001</v>
      </c>
      <c r="FK24" s="10">
        <v>0.49464000000000002</v>
      </c>
      <c r="FL24" s="11"/>
      <c r="FM24" s="11"/>
      <c r="FN24" s="10">
        <v>0.11358</v>
      </c>
      <c r="FO24" s="10">
        <v>3.6639999999999999E-2</v>
      </c>
      <c r="FP24" s="10">
        <v>3.6639999999999999E-2</v>
      </c>
      <c r="FQ24" s="10">
        <v>9.8928000000000002E-2</v>
      </c>
      <c r="FR24" s="10">
        <v>4.0304E-2</v>
      </c>
      <c r="FS24" s="10">
        <v>169.2398</v>
      </c>
      <c r="FT24" s="10">
        <v>3.3363999999999998</v>
      </c>
      <c r="FU24" s="10">
        <v>46.832999999999998</v>
      </c>
      <c r="FV24" s="10">
        <v>9.5264000000000001E-2</v>
      </c>
      <c r="FW24" s="10">
        <v>0.60821999999999998</v>
      </c>
      <c r="FX24" s="10">
        <v>31.343299999999999</v>
      </c>
      <c r="FY24" s="10">
        <v>59.111199999999997</v>
      </c>
      <c r="FZ24" s="10">
        <v>13.2445</v>
      </c>
      <c r="GA24" s="10">
        <v>0.10259</v>
      </c>
      <c r="GB24" s="10">
        <v>0.81340999999999997</v>
      </c>
      <c r="GC24" s="10">
        <v>228.2175</v>
      </c>
      <c r="GD24" s="10">
        <v>134.8886</v>
      </c>
      <c r="GE24" s="10">
        <v>213.91149999999999</v>
      </c>
      <c r="GF24" s="10">
        <v>3.3885999999999998</v>
      </c>
      <c r="GG24" s="10">
        <v>3.427</v>
      </c>
      <c r="GH24" s="10">
        <v>2.3694000000000002</v>
      </c>
      <c r="GI24" s="10">
        <v>0.46533000000000002</v>
      </c>
      <c r="GJ24" s="10">
        <v>71.714200000000005</v>
      </c>
      <c r="GK24" s="10">
        <v>40.49</v>
      </c>
      <c r="GL24" s="10">
        <v>20.726700000000001</v>
      </c>
      <c r="GM24" s="10">
        <v>83.119399999999999</v>
      </c>
      <c r="GN24" s="10">
        <v>9.8000000000000007</v>
      </c>
      <c r="GO24" s="10">
        <v>1.8735999999999999</v>
      </c>
      <c r="GP24" s="10">
        <v>39.956200000000003</v>
      </c>
      <c r="GQ24" s="11"/>
      <c r="GR24" s="10">
        <v>0.79330000000000001</v>
      </c>
      <c r="GS24" s="10">
        <v>4.0304E-2</v>
      </c>
      <c r="GT24" s="10">
        <v>16.9194</v>
      </c>
      <c r="GU24" s="10">
        <v>9.4652999999999992</v>
      </c>
      <c r="GV24" s="10">
        <v>75.212400000000002</v>
      </c>
      <c r="GW24" s="10">
        <v>39.894199999999998</v>
      </c>
      <c r="GX24" s="11"/>
      <c r="GY24" s="11"/>
      <c r="GZ24" s="10">
        <v>0.62602000000000002</v>
      </c>
      <c r="HA24" s="10">
        <v>642.99199999999996</v>
      </c>
      <c r="HB24" s="10">
        <v>36.823399999999999</v>
      </c>
      <c r="HC24" s="10">
        <v>579.03599999999994</v>
      </c>
      <c r="HD24" s="10">
        <v>4716.7164000000002</v>
      </c>
      <c r="HE24" s="10">
        <v>5.8185000000000002</v>
      </c>
      <c r="HF24" s="10">
        <v>106.62220000000001</v>
      </c>
      <c r="HG24" s="10">
        <v>6.2288000000000003E-2</v>
      </c>
      <c r="HH24" s="10">
        <v>90.640600000000006</v>
      </c>
      <c r="HI24" s="10">
        <v>16.785699999999999</v>
      </c>
      <c r="HJ24" s="11"/>
      <c r="HK24" s="11"/>
      <c r="HL24" s="10">
        <v>3.3134999999999999</v>
      </c>
      <c r="HM24" s="10">
        <v>3.5232999999999999</v>
      </c>
      <c r="HN24" s="10">
        <v>9.6140000000000008</v>
      </c>
      <c r="HO24" s="10">
        <f t="shared" si="0"/>
        <v>18921.10189400001</v>
      </c>
      <c r="HP24" s="10">
        <f t="shared" si="1"/>
        <v>18.92110189400001</v>
      </c>
      <c r="HQ24" s="10">
        <f t="shared" si="2"/>
        <v>5.1598314409599162</v>
      </c>
      <c r="HR24" s="11"/>
      <c r="HS24" s="11"/>
      <c r="HT24" s="11"/>
      <c r="HU24" s="11"/>
      <c r="HV24" s="11"/>
      <c r="HW24" s="11"/>
    </row>
    <row r="25" spans="1:231" ht="19.95" customHeight="1">
      <c r="A25" s="8">
        <v>1981</v>
      </c>
      <c r="B25" s="9">
        <v>1.9786999999999999</v>
      </c>
      <c r="C25" s="10">
        <v>7.3353000000000002</v>
      </c>
      <c r="D25" s="10">
        <v>46.341999999999999</v>
      </c>
      <c r="E25" s="11"/>
      <c r="F25" s="10">
        <v>5.2667999999999999</v>
      </c>
      <c r="G25" s="11"/>
      <c r="H25" s="10">
        <v>0.10625999999999999</v>
      </c>
      <c r="I25" s="10">
        <v>101.9693</v>
      </c>
      <c r="J25" s="10">
        <v>17.269400000000001</v>
      </c>
      <c r="K25" s="10">
        <v>0.55762</v>
      </c>
      <c r="L25" s="10">
        <v>230.1326</v>
      </c>
      <c r="M25" s="10">
        <v>55.833799999999997</v>
      </c>
      <c r="N25" s="10">
        <v>49.366</v>
      </c>
      <c r="O25" s="10">
        <v>2.7984</v>
      </c>
      <c r="P25" s="10">
        <v>8.5188000000000006</v>
      </c>
      <c r="Q25" s="10">
        <v>7.8860999999999999</v>
      </c>
      <c r="R25" s="10">
        <v>0.68516999999999995</v>
      </c>
      <c r="S25" s="10">
        <v>107.786</v>
      </c>
      <c r="T25" s="10">
        <v>123.5745</v>
      </c>
      <c r="U25" s="10">
        <v>0.1832</v>
      </c>
      <c r="V25" s="10">
        <v>0.41765000000000002</v>
      </c>
      <c r="W25" s="10">
        <v>0.38838</v>
      </c>
      <c r="X25" s="10">
        <v>2.5648000000000001E-2</v>
      </c>
      <c r="Y25" s="10">
        <v>4.7809999999999997</v>
      </c>
      <c r="Z25" s="10">
        <v>0.42429</v>
      </c>
      <c r="AA25" s="10">
        <v>17.5672</v>
      </c>
      <c r="AB25" s="10">
        <v>1.0076000000000001</v>
      </c>
      <c r="AC25" s="10">
        <v>170.46789999999999</v>
      </c>
      <c r="AD25" s="10">
        <v>4.3968E-2</v>
      </c>
      <c r="AE25" s="10">
        <v>1.4693000000000001</v>
      </c>
      <c r="AF25" s="10">
        <v>80.086799999999997</v>
      </c>
      <c r="AG25" s="10">
        <v>0.55693000000000004</v>
      </c>
      <c r="AH25" s="10">
        <v>0.15755</v>
      </c>
      <c r="AI25" s="10">
        <v>0.30044999999999999</v>
      </c>
      <c r="AJ25" s="10">
        <v>5.3190999999999997</v>
      </c>
      <c r="AK25" s="10">
        <v>429.59820000000002</v>
      </c>
      <c r="AL25" s="10">
        <v>3.2975999999999998E-2</v>
      </c>
      <c r="AM25" s="11"/>
      <c r="AN25" s="10">
        <v>0.13557</v>
      </c>
      <c r="AO25" s="10">
        <v>0.20885000000000001</v>
      </c>
      <c r="AP25" s="10">
        <v>24.335000000000001</v>
      </c>
      <c r="AQ25" s="10">
        <v>1442.7823000000001</v>
      </c>
      <c r="AR25" s="10">
        <v>44.260300000000001</v>
      </c>
      <c r="AS25" s="10">
        <v>4.7632000000000001E-2</v>
      </c>
      <c r="AT25" s="10">
        <v>0.47072000000000003</v>
      </c>
      <c r="AU25" s="10">
        <v>6.5951999999999997E-2</v>
      </c>
      <c r="AV25" s="10">
        <v>2.2362000000000002</v>
      </c>
      <c r="AW25" s="10">
        <v>3.8654999999999999</v>
      </c>
      <c r="AX25" s="10">
        <v>18.974699999999999</v>
      </c>
      <c r="AY25" s="10">
        <v>32.627299999999998</v>
      </c>
      <c r="AZ25" s="10">
        <v>8.0614000000000008</v>
      </c>
      <c r="BA25" s="10">
        <v>3.0950000000000002</v>
      </c>
      <c r="BB25" s="10">
        <v>182.65610000000001</v>
      </c>
      <c r="BC25" s="10">
        <v>3.7553999999999998</v>
      </c>
      <c r="BD25" s="10">
        <v>51.772599999999997</v>
      </c>
      <c r="BE25" s="10">
        <v>0.30044999999999999</v>
      </c>
      <c r="BF25" s="10">
        <v>3.6639999999999999E-2</v>
      </c>
      <c r="BG25" s="10">
        <v>6.1352000000000002</v>
      </c>
      <c r="BH25" s="10">
        <v>16.652799999999999</v>
      </c>
      <c r="BI25" s="10">
        <v>50.902700000000003</v>
      </c>
      <c r="BJ25" s="10">
        <v>1.8187</v>
      </c>
      <c r="BK25" s="10">
        <v>6.9615999999999997E-2</v>
      </c>
      <c r="BL25" s="11"/>
      <c r="BM25" s="10">
        <v>30.8855</v>
      </c>
      <c r="BN25" s="10">
        <v>1.86</v>
      </c>
      <c r="BO25" s="10">
        <v>0.43968000000000002</v>
      </c>
      <c r="BP25" s="11"/>
      <c r="BQ25" s="10">
        <v>1.0771999999999999</v>
      </c>
      <c r="BR25" s="10">
        <v>51.403500000000001</v>
      </c>
      <c r="BS25" s="10">
        <v>455.64960000000002</v>
      </c>
      <c r="BT25" s="11"/>
      <c r="BU25" s="10">
        <v>0.32976</v>
      </c>
      <c r="BV25" s="10">
        <v>6.5640000000000001</v>
      </c>
      <c r="BW25" s="10">
        <v>0.15755</v>
      </c>
      <c r="BX25" s="10">
        <v>26.273399999999999</v>
      </c>
      <c r="BY25" s="10">
        <v>1048.5165999999999</v>
      </c>
      <c r="BZ25" s="10">
        <v>3.0299</v>
      </c>
      <c r="CA25" s="11"/>
      <c r="CB25" s="10">
        <v>50.124899999999997</v>
      </c>
      <c r="CC25" s="10">
        <v>0.52761999999999998</v>
      </c>
      <c r="CD25" s="10">
        <v>5.8624000000000002E-2</v>
      </c>
      <c r="CE25" s="11"/>
      <c r="CF25" s="10">
        <v>3.9495</v>
      </c>
      <c r="CG25" s="10">
        <v>0.98928000000000005</v>
      </c>
      <c r="CH25" s="10">
        <v>0.1429</v>
      </c>
      <c r="CI25" s="10">
        <v>1.7989999999999999</v>
      </c>
      <c r="CJ25" s="10">
        <v>0.75892999999999999</v>
      </c>
      <c r="CK25" s="10">
        <v>1.8120000000000001</v>
      </c>
      <c r="CL25" s="10">
        <v>18.616700000000002</v>
      </c>
      <c r="CM25" s="10">
        <v>86.461600000000004</v>
      </c>
      <c r="CN25" s="10">
        <v>1.7470000000000001</v>
      </c>
      <c r="CO25" s="10">
        <v>315.36079999999998</v>
      </c>
      <c r="CP25" s="10">
        <v>100.2972</v>
      </c>
      <c r="CQ25" s="10">
        <v>112.5286</v>
      </c>
      <c r="CR25" s="10">
        <v>31.901499999999999</v>
      </c>
      <c r="CS25" s="10">
        <v>26.060700000000001</v>
      </c>
      <c r="CT25" s="10">
        <v>21.017499999999998</v>
      </c>
      <c r="CU25" s="10">
        <v>375.30059999999997</v>
      </c>
      <c r="CV25" s="10">
        <v>7.4085999999999999</v>
      </c>
      <c r="CW25" s="10">
        <v>926.8374</v>
      </c>
      <c r="CX25" s="10">
        <v>5.8251999999999997</v>
      </c>
      <c r="CY25" s="10">
        <v>215.791</v>
      </c>
      <c r="CZ25" s="10">
        <v>6.4730999999999996</v>
      </c>
      <c r="DA25" s="10">
        <v>2.9312000000000001E-2</v>
      </c>
      <c r="DB25" s="11"/>
      <c r="DC25" s="10">
        <v>25.139600000000002</v>
      </c>
      <c r="DD25" s="10">
        <v>20.010000000000002</v>
      </c>
      <c r="DE25" s="10">
        <v>0.15021999999999999</v>
      </c>
      <c r="DF25" s="10">
        <v>15.9656</v>
      </c>
      <c r="DG25" s="10">
        <v>5.8442999999999996</v>
      </c>
      <c r="DH25" s="11"/>
      <c r="DI25" s="10">
        <v>1.9349000000000001</v>
      </c>
      <c r="DJ25" s="10">
        <v>28.667999999999999</v>
      </c>
      <c r="DK25" s="11"/>
      <c r="DL25" s="10">
        <v>30.076499999999999</v>
      </c>
      <c r="DM25" s="10">
        <v>9.4960000000000004</v>
      </c>
      <c r="DN25" s="10">
        <v>0.53493999999999997</v>
      </c>
      <c r="DO25" s="10">
        <v>1.0245</v>
      </c>
      <c r="DP25" s="10">
        <v>0.60153999999999996</v>
      </c>
      <c r="DQ25" s="10">
        <v>30.877400000000002</v>
      </c>
      <c r="DR25" s="10">
        <v>4.7632000000000001E-2</v>
      </c>
      <c r="DS25" s="10">
        <v>0.39488000000000001</v>
      </c>
      <c r="DT25" s="10">
        <v>1.1432</v>
      </c>
      <c r="DU25" s="11"/>
      <c r="DV25" s="11"/>
      <c r="DW25" s="10">
        <v>0.63371</v>
      </c>
      <c r="DX25" s="10">
        <v>0.54227000000000003</v>
      </c>
      <c r="DY25" s="10">
        <v>283.7971</v>
      </c>
      <c r="DZ25" s="11"/>
      <c r="EA25" s="10">
        <v>25.842500000000001</v>
      </c>
      <c r="EB25" s="10">
        <v>6.6147</v>
      </c>
      <c r="EC25" s="10">
        <v>1.7345999999999999</v>
      </c>
      <c r="ED25" s="10">
        <v>1.8319999999999999E-2</v>
      </c>
      <c r="EE25" s="10">
        <v>15.8269</v>
      </c>
      <c r="EF25" s="10">
        <v>2.4790000000000001</v>
      </c>
      <c r="EG25" s="10">
        <v>5.6230000000000002</v>
      </c>
      <c r="EH25" s="11"/>
      <c r="EI25" s="10">
        <v>0.12458</v>
      </c>
      <c r="EJ25" s="10">
        <v>0.45318999999999998</v>
      </c>
      <c r="EK25" s="10">
        <v>164.10990000000001</v>
      </c>
      <c r="EL25" s="10">
        <v>1.3903000000000001</v>
      </c>
      <c r="EM25" s="10">
        <v>16.5611</v>
      </c>
      <c r="EN25" s="10">
        <v>2.1349</v>
      </c>
      <c r="EO25" s="10">
        <v>0.68379999999999996</v>
      </c>
      <c r="EP25" s="10">
        <v>65.810500000000005</v>
      </c>
      <c r="EQ25" s="10">
        <v>3.6640000000000002E-3</v>
      </c>
      <c r="ER25" s="10">
        <v>114.39490000000001</v>
      </c>
      <c r="ES25" s="10">
        <v>12.846299999999999</v>
      </c>
      <c r="ET25" s="10">
        <v>31.942499999999999</v>
      </c>
      <c r="EU25" s="11"/>
      <c r="EV25" s="10">
        <v>6.0125999999999999</v>
      </c>
      <c r="EW25" s="10">
        <v>34.232799999999997</v>
      </c>
      <c r="EX25" s="11"/>
      <c r="EY25" s="10">
        <v>3.3227000000000002</v>
      </c>
      <c r="EZ25" s="10">
        <v>1.9309000000000001</v>
      </c>
      <c r="FA25" s="10">
        <v>1.3834</v>
      </c>
      <c r="FB25" s="10">
        <v>24.019300000000001</v>
      </c>
      <c r="FC25" s="10">
        <v>34.528199999999998</v>
      </c>
      <c r="FD25" s="10">
        <v>408.99700000000001</v>
      </c>
      <c r="FE25" s="10">
        <v>27.000699999999998</v>
      </c>
      <c r="FF25" s="10">
        <v>12.8407</v>
      </c>
      <c r="FG25" s="10">
        <v>0.30298999999999998</v>
      </c>
      <c r="FH25" s="11"/>
      <c r="FI25" s="10">
        <v>197.7302</v>
      </c>
      <c r="FJ25" s="10">
        <v>2091.6525000000001</v>
      </c>
      <c r="FK25" s="10">
        <v>0.60089999999999999</v>
      </c>
      <c r="FL25" s="10">
        <v>7.3280000000000003E-3</v>
      </c>
      <c r="FM25" s="10">
        <v>5.4960000000000002E-2</v>
      </c>
      <c r="FN25" s="10">
        <v>9.5264000000000001E-2</v>
      </c>
      <c r="FO25" s="10">
        <v>4.0304E-2</v>
      </c>
      <c r="FP25" s="10">
        <v>3.6639999999999999E-2</v>
      </c>
      <c r="FQ25" s="10">
        <v>0.10259</v>
      </c>
      <c r="FR25" s="10">
        <v>4.3968E-2</v>
      </c>
      <c r="FS25" s="10">
        <v>175.30340000000001</v>
      </c>
      <c r="FT25" s="10">
        <v>3.2799</v>
      </c>
      <c r="FU25" s="10">
        <v>50.962400000000002</v>
      </c>
      <c r="FV25" s="10">
        <v>9.8928000000000002E-2</v>
      </c>
      <c r="FW25" s="10">
        <v>0.6925</v>
      </c>
      <c r="FX25" s="10">
        <v>26.740600000000001</v>
      </c>
      <c r="FY25" s="10">
        <v>58.474899999999998</v>
      </c>
      <c r="FZ25" s="10">
        <v>14.3972</v>
      </c>
      <c r="GA25" s="10">
        <v>0.13557</v>
      </c>
      <c r="GB25" s="10">
        <v>0.27479999999999999</v>
      </c>
      <c r="GC25" s="10">
        <v>257.09960000000001</v>
      </c>
      <c r="GD25" s="10">
        <v>139.7775</v>
      </c>
      <c r="GE25" s="10">
        <v>206.09569999999999</v>
      </c>
      <c r="GF25" s="10">
        <v>4.0056000000000003</v>
      </c>
      <c r="GG25" s="10">
        <v>3.3298999999999999</v>
      </c>
      <c r="GH25" s="10">
        <v>2.0283000000000002</v>
      </c>
      <c r="GI25" s="10">
        <v>0.43602000000000002</v>
      </c>
      <c r="GJ25" s="10">
        <v>69.389099999999999</v>
      </c>
      <c r="GK25" s="10">
        <v>38.811700000000002</v>
      </c>
      <c r="GL25" s="10">
        <v>26.534600000000001</v>
      </c>
      <c r="GM25" s="10">
        <v>74.566999999999993</v>
      </c>
      <c r="GN25" s="10">
        <v>9.6140000000000008</v>
      </c>
      <c r="GO25" s="10">
        <v>2.1067999999999998</v>
      </c>
      <c r="GP25" s="10">
        <v>37.816800000000001</v>
      </c>
      <c r="GQ25" s="11"/>
      <c r="GR25" s="10">
        <v>0.70530000000000004</v>
      </c>
      <c r="GS25" s="10">
        <v>4.7632000000000001E-2</v>
      </c>
      <c r="GT25" s="10">
        <v>17.2424</v>
      </c>
      <c r="GU25" s="10">
        <v>9.8002000000000002</v>
      </c>
      <c r="GV25" s="10">
        <v>79.186199999999999</v>
      </c>
      <c r="GW25" s="10">
        <v>39.131799999999998</v>
      </c>
      <c r="GX25" s="11"/>
      <c r="GY25" s="11"/>
      <c r="GZ25" s="10">
        <v>0.52703999999999995</v>
      </c>
      <c r="HA25" s="10">
        <v>630.6241</v>
      </c>
      <c r="HB25" s="10">
        <v>36.7669</v>
      </c>
      <c r="HC25" s="10">
        <v>560.55499999999995</v>
      </c>
      <c r="HD25" s="10">
        <v>4530.3698000000004</v>
      </c>
      <c r="HE25" s="10">
        <v>5.3559999999999999</v>
      </c>
      <c r="HF25" s="10">
        <v>104.54259999999999</v>
      </c>
      <c r="HG25" s="10">
        <v>5.1296000000000001E-2</v>
      </c>
      <c r="HH25" s="10">
        <v>91.791600000000003</v>
      </c>
      <c r="HI25" s="10">
        <v>17.6907</v>
      </c>
      <c r="HJ25" s="11"/>
      <c r="HK25" s="11"/>
      <c r="HL25" s="10">
        <v>4.2253999999999996</v>
      </c>
      <c r="HM25" s="10">
        <v>3.3580000000000001</v>
      </c>
      <c r="HN25" s="10">
        <v>9.4054000000000002</v>
      </c>
      <c r="HO25" s="10">
        <f t="shared" si="0"/>
        <v>18427.270853999995</v>
      </c>
      <c r="HP25" s="10">
        <f t="shared" si="1"/>
        <v>18.427270853999996</v>
      </c>
      <c r="HQ25" s="10">
        <f t="shared" si="2"/>
        <v>5.0251624908644663</v>
      </c>
      <c r="HR25" s="11"/>
      <c r="HS25" s="11"/>
      <c r="HT25" s="11"/>
      <c r="HU25" s="11"/>
      <c r="HV25" s="11"/>
      <c r="HW25" s="11"/>
    </row>
    <row r="26" spans="1:231" ht="19.95" customHeight="1">
      <c r="A26" s="8">
        <v>1982</v>
      </c>
      <c r="B26" s="9">
        <v>2.0949</v>
      </c>
      <c r="C26" s="10">
        <v>7.3023999999999996</v>
      </c>
      <c r="D26" s="10">
        <v>39.173000000000002</v>
      </c>
      <c r="E26" s="11"/>
      <c r="F26" s="10">
        <v>4.6352000000000002</v>
      </c>
      <c r="G26" s="11"/>
      <c r="H26" s="10">
        <v>0.29311999999999999</v>
      </c>
      <c r="I26" s="10">
        <v>103.3518</v>
      </c>
      <c r="J26" s="10">
        <v>17.596800000000002</v>
      </c>
      <c r="K26" s="10">
        <v>0.62346999999999997</v>
      </c>
      <c r="L26" s="10">
        <v>233.8886</v>
      </c>
      <c r="M26" s="10">
        <v>53.566200000000002</v>
      </c>
      <c r="N26" s="10">
        <v>50.297600000000003</v>
      </c>
      <c r="O26" s="10">
        <v>2.2585000000000002</v>
      </c>
      <c r="P26" s="10">
        <v>9.8305000000000007</v>
      </c>
      <c r="Q26" s="10">
        <v>8.5523000000000007</v>
      </c>
      <c r="R26" s="10">
        <v>0.64485999999999999</v>
      </c>
      <c r="S26" s="10">
        <v>109.8111</v>
      </c>
      <c r="T26" s="10">
        <v>117.1028</v>
      </c>
      <c r="U26" s="10">
        <v>0.17221</v>
      </c>
      <c r="V26" s="10">
        <v>0.47733999999999999</v>
      </c>
      <c r="W26" s="10">
        <v>0.39571000000000001</v>
      </c>
      <c r="X26" s="10">
        <v>3.2975999999999998E-2</v>
      </c>
      <c r="Y26" s="10">
        <v>4.3379000000000003</v>
      </c>
      <c r="Z26" s="10">
        <v>0.47438000000000002</v>
      </c>
      <c r="AA26" s="10">
        <v>16.136700000000001</v>
      </c>
      <c r="AB26" s="10">
        <v>1.0992</v>
      </c>
      <c r="AC26" s="10">
        <v>170.7893</v>
      </c>
      <c r="AD26" s="10">
        <v>3.6639999999999999E-2</v>
      </c>
      <c r="AE26" s="10">
        <v>2.0920999999999998</v>
      </c>
      <c r="AF26" s="10">
        <v>89.844200000000001</v>
      </c>
      <c r="AG26" s="10">
        <v>0.57525000000000004</v>
      </c>
      <c r="AH26" s="10">
        <v>0.15755</v>
      </c>
      <c r="AI26" s="10">
        <v>0.33709</v>
      </c>
      <c r="AJ26" s="10">
        <v>6.3159000000000001</v>
      </c>
      <c r="AK26" s="10">
        <v>414.4264</v>
      </c>
      <c r="AL26" s="10">
        <v>3.6639999999999999E-2</v>
      </c>
      <c r="AM26" s="11"/>
      <c r="AN26" s="10">
        <v>0.1429</v>
      </c>
      <c r="AO26" s="10">
        <v>0.20518</v>
      </c>
      <c r="AP26" s="10">
        <v>20.467199999999998</v>
      </c>
      <c r="AQ26" s="10">
        <v>1570.4683</v>
      </c>
      <c r="AR26" s="10">
        <v>45.679299999999998</v>
      </c>
      <c r="AS26" s="10">
        <v>4.7632000000000001E-2</v>
      </c>
      <c r="AT26" s="10">
        <v>1.3431</v>
      </c>
      <c r="AU26" s="10">
        <v>5.1296000000000001E-2</v>
      </c>
      <c r="AV26" s="10">
        <v>2.0706000000000002</v>
      </c>
      <c r="AW26" s="10">
        <v>5.5545999999999998</v>
      </c>
      <c r="AX26" s="10">
        <v>17.4282</v>
      </c>
      <c r="AY26" s="10">
        <v>34.4206</v>
      </c>
      <c r="AZ26" s="10">
        <v>9.0132999999999992</v>
      </c>
      <c r="BA26" s="10">
        <v>3.1564000000000001</v>
      </c>
      <c r="BB26" s="10">
        <v>180.85990000000001</v>
      </c>
      <c r="BC26" s="10">
        <v>3.0470000000000002</v>
      </c>
      <c r="BD26" s="10">
        <v>53.683799999999998</v>
      </c>
      <c r="BE26" s="10">
        <v>0.34808</v>
      </c>
      <c r="BF26" s="10">
        <v>4.0304E-2</v>
      </c>
      <c r="BG26" s="10">
        <v>6.3034999999999997</v>
      </c>
      <c r="BH26" s="10">
        <v>19.235099999999999</v>
      </c>
      <c r="BI26" s="10">
        <v>56.431199999999997</v>
      </c>
      <c r="BJ26" s="10">
        <v>1.7521</v>
      </c>
      <c r="BK26" s="10">
        <v>7.3279999999999998E-2</v>
      </c>
      <c r="BL26" s="11"/>
      <c r="BM26" s="10">
        <v>31.482299999999999</v>
      </c>
      <c r="BN26" s="10">
        <v>1.4739</v>
      </c>
      <c r="BO26" s="10">
        <v>0.45800000000000002</v>
      </c>
      <c r="BP26" s="11"/>
      <c r="BQ26" s="10">
        <v>0.83511999999999997</v>
      </c>
      <c r="BR26" s="10">
        <v>42.976700000000001</v>
      </c>
      <c r="BS26" s="10">
        <v>438.05560000000003</v>
      </c>
      <c r="BT26" s="11"/>
      <c r="BU26" s="10">
        <v>0.33709</v>
      </c>
      <c r="BV26" s="10">
        <v>6.5435999999999996</v>
      </c>
      <c r="BW26" s="10">
        <v>0.16122</v>
      </c>
      <c r="BX26" s="10">
        <v>26.767299999999999</v>
      </c>
      <c r="BY26" s="10">
        <v>1015.7269</v>
      </c>
      <c r="BZ26" s="10">
        <v>3.0284</v>
      </c>
      <c r="CA26" s="11"/>
      <c r="CB26" s="10">
        <v>51.508200000000002</v>
      </c>
      <c r="CC26" s="10">
        <v>0.51661999999999997</v>
      </c>
      <c r="CD26" s="10">
        <v>6.2288000000000003E-2</v>
      </c>
      <c r="CE26" s="11"/>
      <c r="CF26" s="10">
        <v>3.6067999999999998</v>
      </c>
      <c r="CG26" s="10">
        <v>0.98194999999999999</v>
      </c>
      <c r="CH26" s="10">
        <v>0.1429</v>
      </c>
      <c r="CI26" s="10">
        <v>1.4033</v>
      </c>
      <c r="CJ26" s="10">
        <v>0.81730000000000003</v>
      </c>
      <c r="CK26" s="10">
        <v>1.7531000000000001</v>
      </c>
      <c r="CL26" s="10">
        <v>19.622800000000002</v>
      </c>
      <c r="CM26" s="10">
        <v>86.713499999999996</v>
      </c>
      <c r="CN26" s="10">
        <v>1.5927</v>
      </c>
      <c r="CO26" s="10">
        <v>325.7799</v>
      </c>
      <c r="CP26" s="10">
        <v>105.5842</v>
      </c>
      <c r="CQ26" s="10">
        <v>137.51499999999999</v>
      </c>
      <c r="CR26" s="10">
        <v>30.374400000000001</v>
      </c>
      <c r="CS26" s="10">
        <v>25.5656</v>
      </c>
      <c r="CT26" s="10">
        <v>23.854700000000001</v>
      </c>
      <c r="CU26" s="10">
        <v>366.87950000000001</v>
      </c>
      <c r="CV26" s="10">
        <v>6.2141999999999999</v>
      </c>
      <c r="CW26" s="10">
        <v>897.40970000000004</v>
      </c>
      <c r="CX26" s="10">
        <v>6.2557</v>
      </c>
      <c r="CY26" s="10">
        <v>219.7972</v>
      </c>
      <c r="CZ26" s="10">
        <v>4.6337999999999999</v>
      </c>
      <c r="DA26" s="10">
        <v>2.5648000000000001E-2</v>
      </c>
      <c r="DB26" s="11"/>
      <c r="DC26" s="10">
        <v>21.090299999999999</v>
      </c>
      <c r="DD26" s="10">
        <v>20.3858</v>
      </c>
      <c r="DE26" s="10">
        <v>0.15755</v>
      </c>
      <c r="DF26" s="10">
        <v>16.269500000000001</v>
      </c>
      <c r="DG26" s="10">
        <v>5.7195</v>
      </c>
      <c r="DH26" s="11"/>
      <c r="DI26" s="10">
        <v>0.59741</v>
      </c>
      <c r="DJ26" s="10">
        <v>30.565100000000001</v>
      </c>
      <c r="DK26" s="11"/>
      <c r="DL26" s="10">
        <v>30.6587</v>
      </c>
      <c r="DM26" s="10">
        <v>8.9351000000000003</v>
      </c>
      <c r="DN26" s="10">
        <v>0.48365000000000002</v>
      </c>
      <c r="DO26" s="10">
        <v>1.0133000000000001</v>
      </c>
      <c r="DP26" s="10">
        <v>0.59135000000000004</v>
      </c>
      <c r="DQ26" s="10">
        <v>30.6416</v>
      </c>
      <c r="DR26" s="10">
        <v>4.7632000000000001E-2</v>
      </c>
      <c r="DS26" s="10">
        <v>0.36513000000000001</v>
      </c>
      <c r="DT26" s="10">
        <v>1.3117000000000001</v>
      </c>
      <c r="DU26" s="11"/>
      <c r="DV26" s="11"/>
      <c r="DW26" s="10">
        <v>0.88302000000000003</v>
      </c>
      <c r="DX26" s="10">
        <v>0.50197000000000003</v>
      </c>
      <c r="DY26" s="10">
        <v>304.01010000000002</v>
      </c>
      <c r="DZ26" s="11"/>
      <c r="EA26" s="10">
        <v>26.3294</v>
      </c>
      <c r="EB26" s="10">
        <v>6.7122999999999999</v>
      </c>
      <c r="EC26" s="10">
        <v>1.5935999999999999</v>
      </c>
      <c r="ED26" s="10">
        <v>1.8319999999999999E-2</v>
      </c>
      <c r="EE26" s="10">
        <v>17.027899999999999</v>
      </c>
      <c r="EF26" s="10">
        <v>2.5238999999999998</v>
      </c>
      <c r="EG26" s="10">
        <v>5.5795000000000003</v>
      </c>
      <c r="EH26" s="11"/>
      <c r="EI26" s="10">
        <v>0.12458</v>
      </c>
      <c r="EJ26" s="10">
        <v>0.44235999999999998</v>
      </c>
      <c r="EK26" s="10">
        <v>133.4873</v>
      </c>
      <c r="EL26" s="10">
        <v>1.2618</v>
      </c>
      <c r="EM26" s="10">
        <v>18.270299999999999</v>
      </c>
      <c r="EN26" s="10">
        <v>2.1107</v>
      </c>
      <c r="EO26" s="10">
        <v>0.74587999999999999</v>
      </c>
      <c r="EP26" s="10">
        <v>65.393600000000006</v>
      </c>
      <c r="EQ26" s="10">
        <v>3.6640000000000002E-3</v>
      </c>
      <c r="ER26" s="10">
        <v>116.8921</v>
      </c>
      <c r="ES26" s="10">
        <v>11.8019</v>
      </c>
      <c r="ET26" s="10">
        <v>31.0626</v>
      </c>
      <c r="EU26" s="11"/>
      <c r="EV26" s="10">
        <v>5.7305000000000001</v>
      </c>
      <c r="EW26" s="10">
        <v>37.189599999999999</v>
      </c>
      <c r="EX26" s="11"/>
      <c r="EY26" s="10">
        <v>3.2785000000000002</v>
      </c>
      <c r="EZ26" s="10">
        <v>1.9456</v>
      </c>
      <c r="FA26" s="10">
        <v>1.3626</v>
      </c>
      <c r="FB26" s="10">
        <v>23.59</v>
      </c>
      <c r="FC26" s="10">
        <v>34.838500000000003</v>
      </c>
      <c r="FD26" s="10">
        <v>420.97039999999998</v>
      </c>
      <c r="FE26" s="10">
        <v>29.0001</v>
      </c>
      <c r="FF26" s="10">
        <v>12.334899999999999</v>
      </c>
      <c r="FG26" s="10">
        <v>0.31855</v>
      </c>
      <c r="FH26" s="11"/>
      <c r="FI26" s="10">
        <v>195.32919999999999</v>
      </c>
      <c r="FJ26" s="10">
        <v>2131.1358</v>
      </c>
      <c r="FK26" s="10">
        <v>0.60821999999999998</v>
      </c>
      <c r="FL26" s="10">
        <v>3.6640000000000002E-3</v>
      </c>
      <c r="FM26" s="10">
        <v>6.5951999999999997E-2</v>
      </c>
      <c r="FN26" s="10">
        <v>0.11358</v>
      </c>
      <c r="FO26" s="10">
        <v>4.0304E-2</v>
      </c>
      <c r="FP26" s="10">
        <v>4.0304E-2</v>
      </c>
      <c r="FQ26" s="10">
        <v>0.11358</v>
      </c>
      <c r="FR26" s="10">
        <v>4.7632000000000001E-2</v>
      </c>
      <c r="FS26" s="10">
        <v>157.8914</v>
      </c>
      <c r="FT26" s="10">
        <v>3.0366</v>
      </c>
      <c r="FU26" s="10">
        <v>46.792900000000003</v>
      </c>
      <c r="FV26" s="10">
        <v>8.4272E-2</v>
      </c>
      <c r="FW26" s="10">
        <v>0.55325999999999997</v>
      </c>
      <c r="FX26" s="10">
        <v>29.605799999999999</v>
      </c>
      <c r="FY26" s="10">
        <v>57.909399999999998</v>
      </c>
      <c r="FZ26" s="10">
        <v>13.2097</v>
      </c>
      <c r="GA26" s="10">
        <v>0.12091</v>
      </c>
      <c r="GB26" s="10">
        <v>0.71814</v>
      </c>
      <c r="GC26" s="10">
        <v>280.45960000000002</v>
      </c>
      <c r="GD26" s="10">
        <v>141.98320000000001</v>
      </c>
      <c r="GE26" s="10">
        <v>208.59800000000001</v>
      </c>
      <c r="GF26" s="10">
        <v>4.4668999999999999</v>
      </c>
      <c r="GG26" s="10">
        <v>3.4988999999999999</v>
      </c>
      <c r="GH26" s="10">
        <v>1.8706</v>
      </c>
      <c r="GI26" s="10">
        <v>0.43602000000000002</v>
      </c>
      <c r="GJ26" s="10">
        <v>62.257399999999997</v>
      </c>
      <c r="GK26" s="10">
        <v>36.585000000000001</v>
      </c>
      <c r="GL26" s="10">
        <v>24.3644</v>
      </c>
      <c r="GM26" s="10">
        <v>74.853999999999999</v>
      </c>
      <c r="GN26" s="10">
        <v>9.7949999999999999</v>
      </c>
      <c r="GO26" s="10">
        <v>2.1482999999999999</v>
      </c>
      <c r="GP26" s="10">
        <v>37.635599999999997</v>
      </c>
      <c r="GQ26" s="11"/>
      <c r="GR26" s="10">
        <v>0.81660999999999995</v>
      </c>
      <c r="GS26" s="10">
        <v>4.3968E-2</v>
      </c>
      <c r="GT26" s="10">
        <v>18.405200000000001</v>
      </c>
      <c r="GU26" s="10">
        <v>9.4929000000000006</v>
      </c>
      <c r="GV26" s="10">
        <v>86.2102</v>
      </c>
      <c r="GW26" s="10">
        <v>39.864600000000003</v>
      </c>
      <c r="GX26" s="11"/>
      <c r="GY26" s="11"/>
      <c r="GZ26" s="10">
        <v>0.54469000000000001</v>
      </c>
      <c r="HA26" s="10">
        <v>642.44060000000002</v>
      </c>
      <c r="HB26" s="10">
        <v>36.752800000000001</v>
      </c>
      <c r="HC26" s="10">
        <v>548.24099999999999</v>
      </c>
      <c r="HD26" s="10">
        <v>4301.9706999999999</v>
      </c>
      <c r="HE26" s="10">
        <v>4.8537999999999997</v>
      </c>
      <c r="HF26" s="10">
        <v>106.48950000000001</v>
      </c>
      <c r="HG26" s="10">
        <v>5.1296000000000001E-2</v>
      </c>
      <c r="HH26" s="10">
        <v>93.200999999999993</v>
      </c>
      <c r="HI26" s="10">
        <v>18.331900000000001</v>
      </c>
      <c r="HJ26" s="11"/>
      <c r="HK26" s="11"/>
      <c r="HL26" s="10">
        <v>5.9336000000000002</v>
      </c>
      <c r="HM26" s="10">
        <v>3.5108000000000001</v>
      </c>
      <c r="HN26" s="10">
        <v>8.7798999999999996</v>
      </c>
      <c r="HO26" s="10">
        <f t="shared" si="0"/>
        <v>18325.518612000003</v>
      </c>
      <c r="HP26" s="10">
        <f t="shared" si="1"/>
        <v>18.325518612000003</v>
      </c>
      <c r="HQ26" s="10">
        <f t="shared" si="2"/>
        <v>4.997414401963459</v>
      </c>
      <c r="HR26" s="11"/>
      <c r="HS26" s="11"/>
      <c r="HT26" s="11"/>
      <c r="HU26" s="11"/>
      <c r="HV26" s="11"/>
      <c r="HW26" s="11"/>
    </row>
    <row r="27" spans="1:231" ht="19.95" customHeight="1">
      <c r="A27" s="8">
        <v>1983</v>
      </c>
      <c r="B27" s="9">
        <v>2.52</v>
      </c>
      <c r="C27" s="10">
        <v>7.6247999999999996</v>
      </c>
      <c r="D27" s="10">
        <v>52.503900000000002</v>
      </c>
      <c r="E27" s="11"/>
      <c r="F27" s="10">
        <v>5.1005000000000003</v>
      </c>
      <c r="G27" s="11"/>
      <c r="H27" s="10">
        <v>8.4272E-2</v>
      </c>
      <c r="I27" s="10">
        <v>105.14279999999999</v>
      </c>
      <c r="J27" s="10">
        <v>17.851700000000001</v>
      </c>
      <c r="K27" s="10">
        <v>0.32041999999999998</v>
      </c>
      <c r="L27" s="10">
        <v>224.785</v>
      </c>
      <c r="M27" s="10">
        <v>51.669199999999996</v>
      </c>
      <c r="N27" s="10">
        <v>51.016199999999998</v>
      </c>
      <c r="O27" s="10">
        <v>2.0144000000000002</v>
      </c>
      <c r="P27" s="10">
        <v>8.2219999999999995</v>
      </c>
      <c r="Q27" s="10">
        <v>8.1882999999999999</v>
      </c>
      <c r="R27" s="10">
        <v>0.68516999999999995</v>
      </c>
      <c r="S27" s="10">
        <v>111.35809999999999</v>
      </c>
      <c r="T27" s="10">
        <v>101.20269999999999</v>
      </c>
      <c r="U27" s="10">
        <v>0.17221</v>
      </c>
      <c r="V27" s="10">
        <v>0.43964999999999999</v>
      </c>
      <c r="W27" s="10">
        <v>0.45067000000000002</v>
      </c>
      <c r="X27" s="10">
        <v>2.9312000000000001E-2</v>
      </c>
      <c r="Y27" s="10">
        <v>4.2781000000000002</v>
      </c>
      <c r="Z27" s="10">
        <v>0.24379999999999999</v>
      </c>
      <c r="AA27" s="10">
        <v>17.3766</v>
      </c>
      <c r="AB27" s="10">
        <v>1.0296000000000001</v>
      </c>
      <c r="AC27" s="10">
        <v>165.42689999999999</v>
      </c>
      <c r="AD27" s="10">
        <v>4.0304E-2</v>
      </c>
      <c r="AE27" s="10">
        <v>2.7040000000000002</v>
      </c>
      <c r="AF27" s="10">
        <v>90.061300000000003</v>
      </c>
      <c r="AG27" s="10">
        <v>0.59357000000000004</v>
      </c>
      <c r="AH27" s="10">
        <v>0.20518</v>
      </c>
      <c r="AI27" s="10">
        <v>0.3664</v>
      </c>
      <c r="AJ27" s="10">
        <v>6.5545</v>
      </c>
      <c r="AK27" s="10">
        <v>408.30959999999999</v>
      </c>
      <c r="AL27" s="10">
        <v>3.6639999999999999E-2</v>
      </c>
      <c r="AM27" s="11"/>
      <c r="AN27" s="10">
        <v>0.14656</v>
      </c>
      <c r="AO27" s="10">
        <v>0.20518</v>
      </c>
      <c r="AP27" s="10">
        <v>20.664400000000001</v>
      </c>
      <c r="AQ27" s="10">
        <v>1655.8105</v>
      </c>
      <c r="AR27" s="10">
        <v>49.209600000000002</v>
      </c>
      <c r="AS27" s="10">
        <v>4.7632000000000001E-2</v>
      </c>
      <c r="AT27" s="10">
        <v>1.1425000000000001</v>
      </c>
      <c r="AU27" s="10">
        <v>5.1296000000000001E-2</v>
      </c>
      <c r="AV27" s="10">
        <v>2.0888</v>
      </c>
      <c r="AW27" s="10">
        <v>4.5176999999999996</v>
      </c>
      <c r="AX27" s="10">
        <v>18.767199999999999</v>
      </c>
      <c r="AY27" s="10">
        <v>30.696999999999999</v>
      </c>
      <c r="AZ27" s="10">
        <v>4.6322999999999999</v>
      </c>
      <c r="BA27" s="10">
        <v>3.1505999999999998</v>
      </c>
      <c r="BB27" s="10">
        <v>181.0857</v>
      </c>
      <c r="BC27" s="10">
        <v>3.9980000000000002</v>
      </c>
      <c r="BD27" s="10">
        <v>50.167299999999997</v>
      </c>
      <c r="BE27" s="10">
        <v>0.34808</v>
      </c>
      <c r="BF27" s="10">
        <v>4.0304E-2</v>
      </c>
      <c r="BG27" s="10">
        <v>7.8655999999999997</v>
      </c>
      <c r="BH27" s="10">
        <v>19.502600000000001</v>
      </c>
      <c r="BI27" s="10">
        <v>56.980499999999999</v>
      </c>
      <c r="BJ27" s="10">
        <v>1.8854</v>
      </c>
      <c r="BK27" s="10">
        <v>6.2288000000000003E-2</v>
      </c>
      <c r="BL27" s="11"/>
      <c r="BM27" s="10">
        <v>31.928999999999998</v>
      </c>
      <c r="BN27" s="10">
        <v>1.8348</v>
      </c>
      <c r="BO27" s="10">
        <v>0.48731000000000002</v>
      </c>
      <c r="BP27" s="11"/>
      <c r="BQ27" s="10">
        <v>0.70892999999999995</v>
      </c>
      <c r="BR27" s="10">
        <v>41.4636</v>
      </c>
      <c r="BS27" s="10">
        <v>423.99709999999999</v>
      </c>
      <c r="BT27" s="11"/>
      <c r="BU27" s="10">
        <v>0.42136000000000001</v>
      </c>
      <c r="BV27" s="10">
        <v>5.5086000000000004</v>
      </c>
      <c r="BW27" s="10">
        <v>0.16122</v>
      </c>
      <c r="BX27" s="10">
        <v>27.147300000000001</v>
      </c>
      <c r="BY27" s="10">
        <v>1011.5972</v>
      </c>
      <c r="BZ27" s="10">
        <v>3.6389999999999998</v>
      </c>
      <c r="CA27" s="11"/>
      <c r="CB27" s="10">
        <v>54.788699999999999</v>
      </c>
      <c r="CC27" s="10">
        <v>0.36274000000000001</v>
      </c>
      <c r="CD27" s="10">
        <v>6.2288000000000003E-2</v>
      </c>
      <c r="CE27" s="11"/>
      <c r="CF27" s="10">
        <v>3.1598999999999999</v>
      </c>
      <c r="CG27" s="10">
        <v>0.95264000000000004</v>
      </c>
      <c r="CH27" s="10">
        <v>0.1429</v>
      </c>
      <c r="CI27" s="10">
        <v>1.2458</v>
      </c>
      <c r="CJ27" s="10">
        <v>0.88602999999999998</v>
      </c>
      <c r="CK27" s="10">
        <v>1.9823999999999999</v>
      </c>
      <c r="CL27" s="10">
        <v>20.912099999999999</v>
      </c>
      <c r="CM27" s="10">
        <v>88.974800000000002</v>
      </c>
      <c r="CN27" s="10">
        <v>1.5414000000000001</v>
      </c>
      <c r="CO27" s="10">
        <v>352.63510000000002</v>
      </c>
      <c r="CP27" s="10">
        <v>105.1841</v>
      </c>
      <c r="CQ27" s="10">
        <v>149.21340000000001</v>
      </c>
      <c r="CR27" s="10">
        <v>38.4651</v>
      </c>
      <c r="CS27" s="10">
        <v>25.728000000000002</v>
      </c>
      <c r="CT27" s="10">
        <v>23.7089</v>
      </c>
      <c r="CU27" s="10">
        <v>358.40960000000001</v>
      </c>
      <c r="CV27" s="10">
        <v>6.4451000000000001</v>
      </c>
      <c r="CW27" s="10">
        <v>880.91150000000005</v>
      </c>
      <c r="CX27" s="10">
        <v>7.2999000000000001</v>
      </c>
      <c r="CY27" s="10">
        <v>222.7578</v>
      </c>
      <c r="CZ27" s="10">
        <v>4.5946999999999996</v>
      </c>
      <c r="DA27" s="10">
        <v>2.1984E-2</v>
      </c>
      <c r="DB27" s="11"/>
      <c r="DC27" s="10">
        <v>21.5412</v>
      </c>
      <c r="DD27" s="10">
        <v>20.675699999999999</v>
      </c>
      <c r="DE27" s="10">
        <v>0.17954000000000001</v>
      </c>
      <c r="DF27" s="10">
        <v>16.5076</v>
      </c>
      <c r="DG27" s="10">
        <v>6.9421999999999997</v>
      </c>
      <c r="DH27" s="11"/>
      <c r="DI27" s="10">
        <v>0.70652000000000004</v>
      </c>
      <c r="DJ27" s="10">
        <v>30.146000000000001</v>
      </c>
      <c r="DK27" s="11"/>
      <c r="DL27" s="10">
        <v>31.137599999999999</v>
      </c>
      <c r="DM27" s="10">
        <v>8.3762000000000008</v>
      </c>
      <c r="DN27" s="10">
        <v>0.68149999999999999</v>
      </c>
      <c r="DO27" s="10">
        <v>0.65039000000000002</v>
      </c>
      <c r="DP27" s="10">
        <v>0.57167000000000001</v>
      </c>
      <c r="DQ27" s="10">
        <v>38.048000000000002</v>
      </c>
      <c r="DR27" s="10">
        <v>5.1296000000000001E-2</v>
      </c>
      <c r="DS27" s="10">
        <v>0.41661999999999999</v>
      </c>
      <c r="DT27" s="10">
        <v>0.99661</v>
      </c>
      <c r="DU27" s="11"/>
      <c r="DV27" s="11"/>
      <c r="DW27" s="10">
        <v>0.93798000000000004</v>
      </c>
      <c r="DX27" s="10">
        <v>0.59723000000000004</v>
      </c>
      <c r="DY27" s="10">
        <v>277.66649999999998</v>
      </c>
      <c r="DZ27" s="11"/>
      <c r="EA27" s="10">
        <v>26.703299999999999</v>
      </c>
      <c r="EB27" s="10">
        <v>6.9691000000000001</v>
      </c>
      <c r="EC27" s="10">
        <v>1.716</v>
      </c>
      <c r="ED27" s="10">
        <v>2.1984E-2</v>
      </c>
      <c r="EE27" s="10">
        <v>17.7637</v>
      </c>
      <c r="EF27" s="10">
        <v>1.9544999999999999</v>
      </c>
      <c r="EG27" s="10">
        <v>5.7538</v>
      </c>
      <c r="EH27" s="11"/>
      <c r="EI27" s="10">
        <v>0.12458</v>
      </c>
      <c r="EJ27" s="10">
        <v>0.49242000000000002</v>
      </c>
      <c r="EK27" s="10">
        <v>137.35749999999999</v>
      </c>
      <c r="EL27" s="10">
        <v>1.1512</v>
      </c>
      <c r="EM27" s="10">
        <v>17.998200000000001</v>
      </c>
      <c r="EN27" s="10">
        <v>1.9966999999999999</v>
      </c>
      <c r="EO27" s="10">
        <v>0.96184000000000003</v>
      </c>
      <c r="EP27" s="10">
        <v>59.705199999999998</v>
      </c>
      <c r="EQ27" s="10">
        <v>3.6640000000000002E-3</v>
      </c>
      <c r="ER27" s="10">
        <v>125.1631</v>
      </c>
      <c r="ES27" s="10">
        <v>12.708500000000001</v>
      </c>
      <c r="ET27" s="10">
        <v>32.119900000000001</v>
      </c>
      <c r="EU27" s="11"/>
      <c r="EV27" s="10">
        <v>7.5259</v>
      </c>
      <c r="EW27" s="10">
        <v>40.022199999999998</v>
      </c>
      <c r="EX27" s="11"/>
      <c r="EY27" s="10">
        <v>3.4796999999999998</v>
      </c>
      <c r="EZ27" s="10">
        <v>2.0078999999999998</v>
      </c>
      <c r="FA27" s="10">
        <v>1.4083000000000001</v>
      </c>
      <c r="FB27" s="10">
        <v>20.382200000000001</v>
      </c>
      <c r="FC27" s="10">
        <v>35.239100000000001</v>
      </c>
      <c r="FD27" s="10">
        <v>421.02379999999999</v>
      </c>
      <c r="FE27" s="10">
        <v>29.901900000000001</v>
      </c>
      <c r="FF27" s="10">
        <v>11.242599999999999</v>
      </c>
      <c r="FG27" s="10">
        <v>0.32525999999999999</v>
      </c>
      <c r="FH27" s="11"/>
      <c r="FI27" s="10">
        <v>200.1164</v>
      </c>
      <c r="FJ27" s="10">
        <v>2161.3377</v>
      </c>
      <c r="FK27" s="10">
        <v>0.69616</v>
      </c>
      <c r="FL27" s="10">
        <v>3.6640000000000002E-3</v>
      </c>
      <c r="FM27" s="10">
        <v>5.1296000000000001E-2</v>
      </c>
      <c r="FN27" s="10">
        <v>0.10259</v>
      </c>
      <c r="FO27" s="10">
        <v>3.2975999999999998E-2</v>
      </c>
      <c r="FP27" s="10">
        <v>4.7632000000000001E-2</v>
      </c>
      <c r="FQ27" s="10">
        <v>0.11358</v>
      </c>
      <c r="FR27" s="10">
        <v>5.4960000000000002E-2</v>
      </c>
      <c r="FS27" s="10">
        <v>160.8347</v>
      </c>
      <c r="FT27" s="10">
        <v>2.6114000000000002</v>
      </c>
      <c r="FU27" s="10">
        <v>50.383000000000003</v>
      </c>
      <c r="FV27" s="10">
        <v>9.8928000000000002E-2</v>
      </c>
      <c r="FW27" s="10">
        <v>0.68883000000000005</v>
      </c>
      <c r="FX27" s="10">
        <v>34.810400000000001</v>
      </c>
      <c r="FY27" s="10">
        <v>57.996600000000001</v>
      </c>
      <c r="FZ27" s="10">
        <v>14.2263</v>
      </c>
      <c r="GA27" s="10">
        <v>0.1429</v>
      </c>
      <c r="GB27" s="10">
        <v>0.93432000000000004</v>
      </c>
      <c r="GC27" s="10">
        <v>291.93009999999998</v>
      </c>
      <c r="GD27" s="10">
        <v>151.0378</v>
      </c>
      <c r="GE27" s="10">
        <v>203.43450000000001</v>
      </c>
      <c r="GF27" s="10">
        <v>4.8548999999999998</v>
      </c>
      <c r="GG27" s="10">
        <v>3.5710000000000002</v>
      </c>
      <c r="GH27" s="10">
        <v>1.3721000000000001</v>
      </c>
      <c r="GI27" s="10">
        <v>0.27113999999999999</v>
      </c>
      <c r="GJ27" s="10">
        <v>58.268999999999998</v>
      </c>
      <c r="GK27" s="10">
        <v>40.022100000000002</v>
      </c>
      <c r="GL27" s="10">
        <v>27.7745</v>
      </c>
      <c r="GM27" s="10">
        <v>82.467299999999994</v>
      </c>
      <c r="GN27" s="10">
        <v>9.9344999999999999</v>
      </c>
      <c r="GO27" s="10">
        <v>2.1962999999999999</v>
      </c>
      <c r="GP27" s="10">
        <v>42.1173</v>
      </c>
      <c r="GQ27" s="11"/>
      <c r="GR27" s="10">
        <v>0.62246999999999997</v>
      </c>
      <c r="GS27" s="10">
        <v>4.7632000000000001E-2</v>
      </c>
      <c r="GT27" s="10">
        <v>16.275500000000001</v>
      </c>
      <c r="GU27" s="10">
        <v>11.249700000000001</v>
      </c>
      <c r="GV27" s="10">
        <v>89.812399999999997</v>
      </c>
      <c r="GW27" s="10">
        <v>40.427100000000003</v>
      </c>
      <c r="GX27" s="11"/>
      <c r="GY27" s="11"/>
      <c r="GZ27" s="10">
        <v>0.61353999999999997</v>
      </c>
      <c r="HA27" s="10">
        <v>651.44370000000004</v>
      </c>
      <c r="HB27" s="10">
        <v>35.220500000000001</v>
      </c>
      <c r="HC27" s="10">
        <v>545.48580000000004</v>
      </c>
      <c r="HD27" s="10">
        <v>4335.9165999999996</v>
      </c>
      <c r="HE27" s="10">
        <v>3.8035000000000001</v>
      </c>
      <c r="HF27" s="10">
        <v>107.94799999999999</v>
      </c>
      <c r="HG27" s="10">
        <v>5.4960000000000002E-2</v>
      </c>
      <c r="HH27" s="10">
        <v>92.907899999999998</v>
      </c>
      <c r="HI27" s="10">
        <v>19.255299999999998</v>
      </c>
      <c r="HJ27" s="11"/>
      <c r="HK27" s="11"/>
      <c r="HL27" s="10">
        <v>6.2855999999999996</v>
      </c>
      <c r="HM27" s="10">
        <v>3.2608000000000001</v>
      </c>
      <c r="HN27" s="10">
        <v>10.4251</v>
      </c>
      <c r="HO27" s="10">
        <f t="shared" si="0"/>
        <v>18516.604522000001</v>
      </c>
      <c r="HP27" s="10">
        <f t="shared" si="1"/>
        <v>18.516604522000002</v>
      </c>
      <c r="HQ27" s="10">
        <f t="shared" si="2"/>
        <v>5.0495240038178357</v>
      </c>
      <c r="HR27" s="11"/>
      <c r="HS27" s="11"/>
      <c r="HT27" s="11"/>
      <c r="HU27" s="11"/>
      <c r="HV27" s="11"/>
      <c r="HW27" s="11"/>
    </row>
    <row r="28" spans="1:231" ht="19.95" customHeight="1">
      <c r="A28" s="8">
        <v>1984</v>
      </c>
      <c r="B28" s="9">
        <v>2.8220000000000001</v>
      </c>
      <c r="C28" s="10">
        <v>7.819</v>
      </c>
      <c r="D28" s="10">
        <v>70.9465</v>
      </c>
      <c r="E28" s="11"/>
      <c r="F28" s="10">
        <v>4.9858000000000002</v>
      </c>
      <c r="G28" s="11"/>
      <c r="H28" s="10">
        <v>0.14656</v>
      </c>
      <c r="I28" s="10">
        <v>106.4525</v>
      </c>
      <c r="J28" s="10">
        <v>18.014700000000001</v>
      </c>
      <c r="K28" s="10">
        <v>0.80013999999999996</v>
      </c>
      <c r="L28" s="10">
        <v>236.3612</v>
      </c>
      <c r="M28" s="10">
        <v>54.2151</v>
      </c>
      <c r="N28" s="10">
        <v>51.473100000000002</v>
      </c>
      <c r="O28" s="10">
        <v>1.8540000000000001</v>
      </c>
      <c r="P28" s="10">
        <v>9.2003000000000004</v>
      </c>
      <c r="Q28" s="10">
        <v>9.0771999999999995</v>
      </c>
      <c r="R28" s="10">
        <v>0.74741999999999997</v>
      </c>
      <c r="S28" s="10">
        <v>112.3329</v>
      </c>
      <c r="T28" s="10">
        <v>104.9675</v>
      </c>
      <c r="U28" s="10">
        <v>0.17221</v>
      </c>
      <c r="V28" s="10">
        <v>0.48559999999999998</v>
      </c>
      <c r="W28" s="10">
        <v>0.44334000000000001</v>
      </c>
      <c r="X28" s="10">
        <v>5.1296000000000001E-2</v>
      </c>
      <c r="Y28" s="10">
        <v>4.0293000000000001</v>
      </c>
      <c r="Z28" s="10">
        <v>0.60880999999999996</v>
      </c>
      <c r="AA28" s="10">
        <v>18.325099999999999</v>
      </c>
      <c r="AB28" s="10">
        <v>1.0442</v>
      </c>
      <c r="AC28" s="10">
        <v>167.60560000000001</v>
      </c>
      <c r="AD28" s="10">
        <v>4.0304E-2</v>
      </c>
      <c r="AE28" s="10">
        <v>1.9162999999999999</v>
      </c>
      <c r="AF28" s="10">
        <v>87.044899999999998</v>
      </c>
      <c r="AG28" s="10">
        <v>0.46533000000000002</v>
      </c>
      <c r="AH28" s="10">
        <v>0.21984000000000001</v>
      </c>
      <c r="AI28" s="10">
        <v>0.41037000000000001</v>
      </c>
      <c r="AJ28" s="10">
        <v>6.0529000000000002</v>
      </c>
      <c r="AK28" s="10">
        <v>425.19929999999999</v>
      </c>
      <c r="AL28" s="10">
        <v>8.4272E-2</v>
      </c>
      <c r="AM28" s="11"/>
      <c r="AN28" s="10">
        <v>0.15021999999999999</v>
      </c>
      <c r="AO28" s="10">
        <v>0.21618000000000001</v>
      </c>
      <c r="AP28" s="10">
        <v>21.992999999999999</v>
      </c>
      <c r="AQ28" s="10">
        <v>1802.3171</v>
      </c>
      <c r="AR28" s="10">
        <v>48.701500000000003</v>
      </c>
      <c r="AS28" s="10">
        <v>4.7632000000000001E-2</v>
      </c>
      <c r="AT28" s="10">
        <v>1.1395</v>
      </c>
      <c r="AU28" s="10">
        <v>2.1984E-2</v>
      </c>
      <c r="AV28" s="10">
        <v>1.9809000000000001</v>
      </c>
      <c r="AW28" s="10">
        <v>5.1333000000000002</v>
      </c>
      <c r="AX28" s="10">
        <v>19.7928</v>
      </c>
      <c r="AY28" s="10">
        <v>32.4373</v>
      </c>
      <c r="AZ28" s="10">
        <v>11.567399999999999</v>
      </c>
      <c r="BA28" s="10">
        <v>3.2338</v>
      </c>
      <c r="BB28" s="10">
        <v>187.1865</v>
      </c>
      <c r="BC28" s="10">
        <v>3.9316</v>
      </c>
      <c r="BD28" s="10">
        <v>50.855800000000002</v>
      </c>
      <c r="BE28" s="10">
        <v>0.35174</v>
      </c>
      <c r="BF28" s="10">
        <v>4.3968E-2</v>
      </c>
      <c r="BG28" s="10">
        <v>7.3905000000000003</v>
      </c>
      <c r="BH28" s="10">
        <v>21.189499999999999</v>
      </c>
      <c r="BI28" s="10">
        <v>63.704300000000003</v>
      </c>
      <c r="BJ28" s="10">
        <v>1.5883</v>
      </c>
      <c r="BK28" s="10">
        <v>8.0607999999999999E-2</v>
      </c>
      <c r="BL28" s="11"/>
      <c r="BM28" s="10">
        <v>32.22</v>
      </c>
      <c r="BN28" s="10">
        <v>1.6503000000000001</v>
      </c>
      <c r="BO28" s="10">
        <v>0.49830000000000002</v>
      </c>
      <c r="BP28" s="11"/>
      <c r="BQ28" s="10">
        <v>0.57721</v>
      </c>
      <c r="BR28" s="10">
        <v>42.147399999999998</v>
      </c>
      <c r="BS28" s="10">
        <v>407.34120000000001</v>
      </c>
      <c r="BT28" s="11"/>
      <c r="BU28" s="10">
        <v>0.46166000000000001</v>
      </c>
      <c r="BV28" s="10">
        <v>5.9794999999999998</v>
      </c>
      <c r="BW28" s="10">
        <v>0.17221</v>
      </c>
      <c r="BX28" s="10">
        <v>27.387799999999999</v>
      </c>
      <c r="BY28" s="10">
        <v>1033.2366</v>
      </c>
      <c r="BZ28" s="10">
        <v>2.5670999999999999</v>
      </c>
      <c r="CA28" s="11"/>
      <c r="CB28" s="10">
        <v>56.284300000000002</v>
      </c>
      <c r="CC28" s="10">
        <v>0.56791999999999998</v>
      </c>
      <c r="CD28" s="10">
        <v>6.2288000000000003E-2</v>
      </c>
      <c r="CE28" s="11"/>
      <c r="CF28" s="10">
        <v>3.4011</v>
      </c>
      <c r="CG28" s="10">
        <v>0.97828999999999999</v>
      </c>
      <c r="CH28" s="10">
        <v>0.16122</v>
      </c>
      <c r="CI28" s="10">
        <v>1.4033</v>
      </c>
      <c r="CJ28" s="10">
        <v>0.90315000000000001</v>
      </c>
      <c r="CK28" s="10">
        <v>1.9635</v>
      </c>
      <c r="CL28" s="10">
        <v>22.224799999999998</v>
      </c>
      <c r="CM28" s="10">
        <v>90.686099999999996</v>
      </c>
      <c r="CN28" s="10">
        <v>1.8085</v>
      </c>
      <c r="CO28" s="10">
        <v>361.99380000000002</v>
      </c>
      <c r="CP28" s="10">
        <v>112.4605</v>
      </c>
      <c r="CQ28" s="10">
        <v>149.9427</v>
      </c>
      <c r="CR28" s="10">
        <v>39.771000000000001</v>
      </c>
      <c r="CS28" s="10">
        <v>25.5487</v>
      </c>
      <c r="CT28" s="10">
        <v>23.4983</v>
      </c>
      <c r="CU28" s="10">
        <v>364.60160000000002</v>
      </c>
      <c r="CV28" s="10">
        <v>5.1407999999999996</v>
      </c>
      <c r="CW28" s="10">
        <v>937.07209999999998</v>
      </c>
      <c r="CX28" s="10">
        <v>8.2469000000000001</v>
      </c>
      <c r="CY28" s="10">
        <v>224.58840000000001</v>
      </c>
      <c r="CZ28" s="10">
        <v>4.2530999999999999</v>
      </c>
      <c r="DA28" s="10">
        <v>2.1984E-2</v>
      </c>
      <c r="DB28" s="11"/>
      <c r="DC28" s="10">
        <v>28.2852</v>
      </c>
      <c r="DD28" s="10">
        <v>20.859200000000001</v>
      </c>
      <c r="DE28" s="10">
        <v>0.1832</v>
      </c>
      <c r="DF28" s="10">
        <v>16.660699999999999</v>
      </c>
      <c r="DG28" s="10">
        <v>6.7131999999999996</v>
      </c>
      <c r="DH28" s="11"/>
      <c r="DI28" s="10">
        <v>0.69542999999999999</v>
      </c>
      <c r="DJ28" s="10">
        <v>28.276199999999999</v>
      </c>
      <c r="DK28" s="11"/>
      <c r="DL28" s="10">
        <v>31.454999999999998</v>
      </c>
      <c r="DM28" s="10">
        <v>9.0167000000000002</v>
      </c>
      <c r="DN28" s="10">
        <v>0.60455999999999999</v>
      </c>
      <c r="DO28" s="10">
        <v>0.86636999999999997</v>
      </c>
      <c r="DP28" s="10">
        <v>0.55293999999999999</v>
      </c>
      <c r="DQ28" s="10">
        <v>34.7941</v>
      </c>
      <c r="DR28" s="10">
        <v>5.8624000000000002E-2</v>
      </c>
      <c r="DS28" s="10">
        <v>0.43481999999999998</v>
      </c>
      <c r="DT28" s="10">
        <v>1.363</v>
      </c>
      <c r="DU28" s="11"/>
      <c r="DV28" s="11"/>
      <c r="DW28" s="10">
        <v>0.87202999999999997</v>
      </c>
      <c r="DX28" s="10">
        <v>0.62653999999999999</v>
      </c>
      <c r="DY28" s="10">
        <v>276.76569999999998</v>
      </c>
      <c r="DZ28" s="11"/>
      <c r="EA28" s="10">
        <v>26.940300000000001</v>
      </c>
      <c r="EB28" s="10">
        <v>6.4246999999999996</v>
      </c>
      <c r="EC28" s="10">
        <v>1.8097000000000001</v>
      </c>
      <c r="ED28" s="10">
        <v>2.1984E-2</v>
      </c>
      <c r="EE28" s="10">
        <v>17.783000000000001</v>
      </c>
      <c r="EF28" s="10">
        <v>1.5108999999999999</v>
      </c>
      <c r="EG28" s="10">
        <v>6.5484999999999998</v>
      </c>
      <c r="EH28" s="11"/>
      <c r="EI28" s="10">
        <v>0.12458</v>
      </c>
      <c r="EJ28" s="10">
        <v>0.70142000000000004</v>
      </c>
      <c r="EK28" s="10">
        <v>144.07300000000001</v>
      </c>
      <c r="EL28" s="10">
        <v>1.2021999999999999</v>
      </c>
      <c r="EM28" s="10">
        <v>19.3367</v>
      </c>
      <c r="EN28" s="10">
        <v>1.8460000000000001</v>
      </c>
      <c r="EO28" s="10">
        <v>0.99095</v>
      </c>
      <c r="EP28" s="10">
        <v>69.405900000000003</v>
      </c>
      <c r="EQ28" s="10">
        <v>3.6640000000000002E-3</v>
      </c>
      <c r="ER28" s="10">
        <v>134.66159999999999</v>
      </c>
      <c r="ES28" s="10">
        <v>13.402100000000001</v>
      </c>
      <c r="ET28" s="10">
        <v>34.010899999999999</v>
      </c>
      <c r="EU28" s="11"/>
      <c r="EV28" s="10">
        <v>8.0534999999999997</v>
      </c>
      <c r="EW28" s="10">
        <v>42.557299999999998</v>
      </c>
      <c r="EX28" s="11"/>
      <c r="EY28" s="10">
        <v>2.8673999999999999</v>
      </c>
      <c r="EZ28" s="10">
        <v>2.0445000000000002</v>
      </c>
      <c r="FA28" s="10">
        <v>1.4903</v>
      </c>
      <c r="FB28" s="10">
        <v>20.619</v>
      </c>
      <c r="FC28" s="10">
        <v>30.831299999999999</v>
      </c>
      <c r="FD28" s="10">
        <v>432.4674</v>
      </c>
      <c r="FE28" s="10">
        <v>28.794</v>
      </c>
      <c r="FF28" s="10">
        <v>12.298</v>
      </c>
      <c r="FG28" s="10">
        <v>0.29170000000000001</v>
      </c>
      <c r="FH28" s="11"/>
      <c r="FI28" s="10">
        <v>188.81659999999999</v>
      </c>
      <c r="FJ28" s="10">
        <v>2180.4956000000002</v>
      </c>
      <c r="FK28" s="10">
        <v>0.63387000000000004</v>
      </c>
      <c r="FL28" s="10">
        <v>3.6640000000000002E-3</v>
      </c>
      <c r="FM28" s="10">
        <v>5.1296000000000001E-2</v>
      </c>
      <c r="FN28" s="10">
        <v>0.11358</v>
      </c>
      <c r="FO28" s="10">
        <v>3.6639999999999999E-2</v>
      </c>
      <c r="FP28" s="10">
        <v>6.5951999999999997E-2</v>
      </c>
      <c r="FQ28" s="10">
        <v>0.11358</v>
      </c>
      <c r="FR28" s="10">
        <v>5.1296000000000001E-2</v>
      </c>
      <c r="FS28" s="10">
        <v>155.5102</v>
      </c>
      <c r="FT28" s="10">
        <v>3.2841999999999998</v>
      </c>
      <c r="FU28" s="10">
        <v>53.129199999999997</v>
      </c>
      <c r="FV28" s="10">
        <v>9.8928000000000002E-2</v>
      </c>
      <c r="FW28" s="10">
        <v>0.61555000000000004</v>
      </c>
      <c r="FX28" s="10">
        <v>33.216900000000003</v>
      </c>
      <c r="FY28" s="10">
        <v>59.958799999999997</v>
      </c>
      <c r="FZ28" s="10">
        <v>15.004</v>
      </c>
      <c r="GA28" s="10">
        <v>0.1429</v>
      </c>
      <c r="GB28" s="10">
        <v>0.71448</v>
      </c>
      <c r="GC28" s="10">
        <v>315.62430000000001</v>
      </c>
      <c r="GD28" s="10">
        <v>164.0488</v>
      </c>
      <c r="GE28" s="10">
        <v>197.66669999999999</v>
      </c>
      <c r="GF28" s="10">
        <v>3.8521000000000001</v>
      </c>
      <c r="GG28" s="10">
        <v>3.2016</v>
      </c>
      <c r="GH28" s="10">
        <v>1.552</v>
      </c>
      <c r="GI28" s="10">
        <v>0.33341999999999999</v>
      </c>
      <c r="GJ28" s="10">
        <v>57.308799999999998</v>
      </c>
      <c r="GK28" s="10">
        <v>39.127899999999997</v>
      </c>
      <c r="GL28" s="10">
        <v>32.848999999999997</v>
      </c>
      <c r="GM28" s="10">
        <v>84.139600000000002</v>
      </c>
      <c r="GN28" s="10">
        <v>10.0229</v>
      </c>
      <c r="GO28" s="10">
        <v>2.347</v>
      </c>
      <c r="GP28" s="10">
        <v>45.555799999999998</v>
      </c>
      <c r="GQ28" s="11"/>
      <c r="GR28" s="10">
        <v>0.69330000000000003</v>
      </c>
      <c r="GS28" s="10">
        <v>4.7632000000000001E-2</v>
      </c>
      <c r="GT28" s="10">
        <v>17.5044</v>
      </c>
      <c r="GU28" s="10">
        <v>11.4885</v>
      </c>
      <c r="GV28" s="10">
        <v>94.906300000000002</v>
      </c>
      <c r="GW28" s="10">
        <v>40.782699999999998</v>
      </c>
      <c r="GX28" s="11"/>
      <c r="GY28" s="11"/>
      <c r="GZ28" s="10">
        <v>0.58040999999999998</v>
      </c>
      <c r="HA28" s="10">
        <v>657.11929999999995</v>
      </c>
      <c r="HB28" s="10">
        <v>46.1556</v>
      </c>
      <c r="HC28" s="10">
        <v>529.10889999999995</v>
      </c>
      <c r="HD28" s="10">
        <v>4468.2620999999999</v>
      </c>
      <c r="HE28" s="10">
        <v>3.4382000000000001</v>
      </c>
      <c r="HF28" s="10">
        <v>108.86539999999999</v>
      </c>
      <c r="HG28" s="10">
        <v>5.4960000000000002E-2</v>
      </c>
      <c r="HH28" s="10">
        <v>93.002899999999997</v>
      </c>
      <c r="HI28" s="10">
        <v>17.474399999999999</v>
      </c>
      <c r="HJ28" s="11"/>
      <c r="HK28" s="11"/>
      <c r="HL28" s="10">
        <v>7.0970000000000004</v>
      </c>
      <c r="HM28" s="10">
        <v>2.8043999999999998</v>
      </c>
      <c r="HN28" s="10">
        <v>9.8795999999999999</v>
      </c>
      <c r="HO28" s="10">
        <f t="shared" si="0"/>
        <v>19064.443126000002</v>
      </c>
      <c r="HP28" s="10">
        <f t="shared" si="1"/>
        <v>19.064443126</v>
      </c>
      <c r="HQ28" s="10">
        <f t="shared" si="2"/>
        <v>5.1989209506408516</v>
      </c>
      <c r="HR28" s="11"/>
      <c r="HS28" s="11"/>
      <c r="HT28" s="11"/>
      <c r="HU28" s="11"/>
      <c r="HV28" s="11"/>
      <c r="HW28" s="11"/>
    </row>
    <row r="29" spans="1:231" ht="19.95" customHeight="1">
      <c r="A29" s="8">
        <v>1985</v>
      </c>
      <c r="B29" s="9">
        <v>3.5017999999999998</v>
      </c>
      <c r="C29" s="10">
        <v>7.8738999999999999</v>
      </c>
      <c r="D29" s="10">
        <v>72.609099999999998</v>
      </c>
      <c r="E29" s="11"/>
      <c r="F29" s="10">
        <v>4.6760999999999999</v>
      </c>
      <c r="G29" s="11"/>
      <c r="H29" s="10">
        <v>0.24915000000000001</v>
      </c>
      <c r="I29" s="10">
        <v>100.53189999999999</v>
      </c>
      <c r="J29" s="10">
        <v>19.429200000000002</v>
      </c>
      <c r="K29" s="10">
        <v>0.93652999999999997</v>
      </c>
      <c r="L29" s="10">
        <v>240.988</v>
      </c>
      <c r="M29" s="10">
        <v>54.3673</v>
      </c>
      <c r="N29" s="10">
        <v>55.510599999999997</v>
      </c>
      <c r="O29" s="10">
        <v>1.5096000000000001</v>
      </c>
      <c r="P29" s="10">
        <v>10.1859</v>
      </c>
      <c r="Q29" s="10">
        <v>10.1892</v>
      </c>
      <c r="R29" s="10">
        <v>0.84638999999999998</v>
      </c>
      <c r="S29" s="10">
        <v>121.1327</v>
      </c>
      <c r="T29" s="10">
        <v>104.00539999999999</v>
      </c>
      <c r="U29" s="10">
        <v>0.19053</v>
      </c>
      <c r="V29" s="10">
        <v>0.72574000000000005</v>
      </c>
      <c r="W29" s="10">
        <v>0.45067000000000002</v>
      </c>
      <c r="X29" s="10">
        <v>6.2288000000000003E-2</v>
      </c>
      <c r="Y29" s="10">
        <v>4.1097999999999999</v>
      </c>
      <c r="Z29" s="10">
        <v>0.71258999999999995</v>
      </c>
      <c r="AA29" s="10">
        <v>18.692699999999999</v>
      </c>
      <c r="AB29" s="10">
        <v>1.1577999999999999</v>
      </c>
      <c r="AC29" s="10">
        <v>179.93680000000001</v>
      </c>
      <c r="AD29" s="10">
        <v>4.7632000000000001E-2</v>
      </c>
      <c r="AE29" s="10">
        <v>2.5941000000000001</v>
      </c>
      <c r="AF29" s="10">
        <v>89.221299999999999</v>
      </c>
      <c r="AG29" s="10">
        <v>0.47632000000000002</v>
      </c>
      <c r="AH29" s="10">
        <v>0.23083000000000001</v>
      </c>
      <c r="AI29" s="10">
        <v>0.41770000000000002</v>
      </c>
      <c r="AJ29" s="10">
        <v>6.4706000000000001</v>
      </c>
      <c r="AK29" s="10">
        <v>421.67559999999997</v>
      </c>
      <c r="AL29" s="10">
        <v>8.4272E-2</v>
      </c>
      <c r="AM29" s="11"/>
      <c r="AN29" s="10">
        <v>0.16122</v>
      </c>
      <c r="AO29" s="10">
        <v>0.17954000000000001</v>
      </c>
      <c r="AP29" s="10">
        <v>21.279499999999999</v>
      </c>
      <c r="AQ29" s="10">
        <v>1951.7732000000001</v>
      </c>
      <c r="AR29" s="10">
        <v>48.079500000000003</v>
      </c>
      <c r="AS29" s="10">
        <v>4.7632000000000001E-2</v>
      </c>
      <c r="AT29" s="10">
        <v>1.2751999999999999</v>
      </c>
      <c r="AU29" s="10">
        <v>2.1984E-2</v>
      </c>
      <c r="AV29" s="10">
        <v>2.2425000000000002</v>
      </c>
      <c r="AW29" s="10">
        <v>6.9836</v>
      </c>
      <c r="AX29" s="10">
        <v>20.191600000000001</v>
      </c>
      <c r="AY29" s="10">
        <v>32.405099999999997</v>
      </c>
      <c r="AZ29" s="10">
        <v>13.539199999999999</v>
      </c>
      <c r="BA29" s="10">
        <v>3.1444000000000001</v>
      </c>
      <c r="BB29" s="10">
        <v>184.62139999999999</v>
      </c>
      <c r="BC29" s="10">
        <v>3.6118999999999999</v>
      </c>
      <c r="BD29" s="10">
        <v>60.064599999999999</v>
      </c>
      <c r="BE29" s="10">
        <v>0.35907</v>
      </c>
      <c r="BF29" s="10">
        <v>4.7632000000000001E-2</v>
      </c>
      <c r="BG29" s="10">
        <v>7.2415000000000003</v>
      </c>
      <c r="BH29" s="10">
        <v>19.352699999999999</v>
      </c>
      <c r="BI29" s="10">
        <v>63.807200000000002</v>
      </c>
      <c r="BJ29" s="10">
        <v>1.9653</v>
      </c>
      <c r="BK29" s="10">
        <v>6.5951999999999997E-2</v>
      </c>
      <c r="BL29" s="11"/>
      <c r="BM29" s="10">
        <v>34.798699999999997</v>
      </c>
      <c r="BN29" s="10">
        <v>1.7987</v>
      </c>
      <c r="BO29" s="10">
        <v>0.51661999999999997</v>
      </c>
      <c r="BP29" s="11"/>
      <c r="BQ29" s="10">
        <v>0.57299</v>
      </c>
      <c r="BR29" s="10">
        <v>49.549300000000002</v>
      </c>
      <c r="BS29" s="10">
        <v>402.48759999999999</v>
      </c>
      <c r="BT29" s="11"/>
      <c r="BU29" s="10">
        <v>0.58989999999999998</v>
      </c>
      <c r="BV29" s="10">
        <v>6.2984999999999998</v>
      </c>
      <c r="BW29" s="10">
        <v>0.17221</v>
      </c>
      <c r="BX29" s="10">
        <v>29.534199999999998</v>
      </c>
      <c r="BY29" s="10">
        <v>1044.1101000000001</v>
      </c>
      <c r="BZ29" s="10">
        <v>3.3016999999999999</v>
      </c>
      <c r="CA29" s="11"/>
      <c r="CB29" s="10">
        <v>59.7712</v>
      </c>
      <c r="CC29" s="10">
        <v>0.50929999999999997</v>
      </c>
      <c r="CD29" s="10">
        <v>6.2288000000000003E-2</v>
      </c>
      <c r="CE29" s="11"/>
      <c r="CF29" s="10">
        <v>3.4967999999999999</v>
      </c>
      <c r="CG29" s="10">
        <v>0.99294000000000004</v>
      </c>
      <c r="CH29" s="10">
        <v>0.17221</v>
      </c>
      <c r="CI29" s="10">
        <v>1.4179999999999999</v>
      </c>
      <c r="CJ29" s="10">
        <v>0.92952000000000001</v>
      </c>
      <c r="CK29" s="10">
        <v>1.8894</v>
      </c>
      <c r="CL29" s="10">
        <v>22.881399999999999</v>
      </c>
      <c r="CM29" s="10">
        <v>85.947000000000003</v>
      </c>
      <c r="CN29" s="10">
        <v>1.6213</v>
      </c>
      <c r="CO29" s="10">
        <v>398.06740000000002</v>
      </c>
      <c r="CP29" s="10">
        <v>121.5977</v>
      </c>
      <c r="CQ29" s="10">
        <v>159.94710000000001</v>
      </c>
      <c r="CR29" s="10">
        <v>44.196399999999997</v>
      </c>
      <c r="CS29" s="10">
        <v>26.748999999999999</v>
      </c>
      <c r="CT29" s="10">
        <v>24.6128</v>
      </c>
      <c r="CU29" s="10">
        <v>368.983</v>
      </c>
      <c r="CV29" s="10">
        <v>5.0419</v>
      </c>
      <c r="CW29" s="10">
        <v>912.40300000000002</v>
      </c>
      <c r="CX29" s="10">
        <v>8.4215</v>
      </c>
      <c r="CY29" s="10">
        <v>242.24870000000001</v>
      </c>
      <c r="CZ29" s="10">
        <v>3.7160000000000002</v>
      </c>
      <c r="DA29" s="10">
        <v>2.1984E-2</v>
      </c>
      <c r="DB29" s="11"/>
      <c r="DC29" s="10">
        <v>29.0702</v>
      </c>
      <c r="DD29" s="10">
        <v>22.493200000000002</v>
      </c>
      <c r="DE29" s="10">
        <v>0.20518</v>
      </c>
      <c r="DF29" s="10">
        <v>17.9696</v>
      </c>
      <c r="DG29" s="10">
        <v>7.7649999999999997</v>
      </c>
      <c r="DH29" s="11"/>
      <c r="DI29" s="10">
        <v>0.71608000000000005</v>
      </c>
      <c r="DJ29" s="10">
        <v>31.002199999999998</v>
      </c>
      <c r="DK29" s="11"/>
      <c r="DL29" s="10">
        <v>33.936500000000002</v>
      </c>
      <c r="DM29" s="10">
        <v>9.2484999999999999</v>
      </c>
      <c r="DN29" s="10">
        <v>0.73280000000000001</v>
      </c>
      <c r="DO29" s="10">
        <v>1.0529999999999999</v>
      </c>
      <c r="DP29" s="10">
        <v>0.55342999999999998</v>
      </c>
      <c r="DQ29" s="10">
        <v>36.3294</v>
      </c>
      <c r="DR29" s="10">
        <v>6.5951999999999997E-2</v>
      </c>
      <c r="DS29" s="10">
        <v>0.40538000000000002</v>
      </c>
      <c r="DT29" s="10">
        <v>1.1980999999999999</v>
      </c>
      <c r="DU29" s="11"/>
      <c r="DV29" s="11"/>
      <c r="DW29" s="10">
        <v>0.65586</v>
      </c>
      <c r="DX29" s="10">
        <v>0.70714999999999995</v>
      </c>
      <c r="DY29" s="10">
        <v>287.51119999999997</v>
      </c>
      <c r="DZ29" s="11"/>
      <c r="EA29" s="10">
        <v>29.053000000000001</v>
      </c>
      <c r="EB29" s="10">
        <v>8.9978999999999996</v>
      </c>
      <c r="EC29" s="10">
        <v>1.8460000000000001</v>
      </c>
      <c r="ED29" s="10">
        <v>2.5648000000000001E-2</v>
      </c>
      <c r="EE29" s="10">
        <v>17.8337</v>
      </c>
      <c r="EF29" s="10">
        <v>1.1349</v>
      </c>
      <c r="EG29" s="10">
        <v>6.6755000000000004</v>
      </c>
      <c r="EH29" s="11"/>
      <c r="EI29" s="10">
        <v>0.12458</v>
      </c>
      <c r="EJ29" s="10">
        <v>0.67601999999999995</v>
      </c>
      <c r="EK29" s="10">
        <v>146.9802</v>
      </c>
      <c r="EL29" s="10">
        <v>1.4510000000000001</v>
      </c>
      <c r="EM29" s="10">
        <v>21.8581</v>
      </c>
      <c r="EN29" s="10">
        <v>1.9847999999999999</v>
      </c>
      <c r="EO29" s="10">
        <v>0.99439999999999995</v>
      </c>
      <c r="EP29" s="10">
        <v>69.635999999999996</v>
      </c>
      <c r="EQ29" s="10">
        <v>3.6640000000000002E-3</v>
      </c>
      <c r="ER29" s="10">
        <v>144.28469999999999</v>
      </c>
      <c r="ES29" s="10">
        <v>13.671099999999999</v>
      </c>
      <c r="ET29" s="10">
        <v>32.494599999999998</v>
      </c>
      <c r="EU29" s="11"/>
      <c r="EV29" s="10">
        <v>8.6184999999999992</v>
      </c>
      <c r="EW29" s="10">
        <v>46.813499999999998</v>
      </c>
      <c r="EX29" s="11"/>
      <c r="EY29" s="10">
        <v>2.6133000000000002</v>
      </c>
      <c r="EZ29" s="10">
        <v>2.1251000000000002</v>
      </c>
      <c r="FA29" s="10">
        <v>1.5479000000000001</v>
      </c>
      <c r="FB29" s="10">
        <v>19.439900000000002</v>
      </c>
      <c r="FC29" s="10">
        <v>27.899100000000001</v>
      </c>
      <c r="FD29" s="10">
        <v>444.50790000000001</v>
      </c>
      <c r="FE29" s="10">
        <v>27.129899999999999</v>
      </c>
      <c r="FF29" s="10">
        <v>12.377800000000001</v>
      </c>
      <c r="FG29" s="10">
        <v>0.33899000000000001</v>
      </c>
      <c r="FH29" s="11"/>
      <c r="FI29" s="10">
        <v>193.90690000000001</v>
      </c>
      <c r="FJ29" s="10">
        <v>2351.6754000000001</v>
      </c>
      <c r="FK29" s="10">
        <v>0.61555000000000004</v>
      </c>
      <c r="FL29" s="10">
        <v>3.6640000000000002E-3</v>
      </c>
      <c r="FM29" s="10">
        <v>5.1296000000000001E-2</v>
      </c>
      <c r="FN29" s="10">
        <v>0.12823999999999999</v>
      </c>
      <c r="FO29" s="10">
        <v>3.2975999999999998E-2</v>
      </c>
      <c r="FP29" s="10">
        <v>6.5951999999999997E-2</v>
      </c>
      <c r="FQ29" s="10">
        <v>0.11358</v>
      </c>
      <c r="FR29" s="10">
        <v>5.4960000000000002E-2</v>
      </c>
      <c r="FS29" s="10">
        <v>172.41849999999999</v>
      </c>
      <c r="FT29" s="10">
        <v>2.6505000000000001</v>
      </c>
      <c r="FU29" s="10">
        <v>54.187600000000003</v>
      </c>
      <c r="FV29" s="10">
        <v>0.15021999999999999</v>
      </c>
      <c r="FW29" s="10">
        <v>0.66317999999999999</v>
      </c>
      <c r="FX29" s="10">
        <v>33.266599999999997</v>
      </c>
      <c r="FY29" s="10">
        <v>59.147799999999997</v>
      </c>
      <c r="FZ29" s="10">
        <v>15.304500000000001</v>
      </c>
      <c r="GA29" s="10">
        <v>0.15021999999999999</v>
      </c>
      <c r="GB29" s="10">
        <v>0.85738000000000003</v>
      </c>
      <c r="GC29" s="10">
        <v>323.89019999999999</v>
      </c>
      <c r="GD29" s="10">
        <v>178.48480000000001</v>
      </c>
      <c r="GE29" s="10">
        <v>199.9308</v>
      </c>
      <c r="GF29" s="10">
        <v>3.9165999999999999</v>
      </c>
      <c r="GG29" s="10">
        <v>3.7204000000000002</v>
      </c>
      <c r="GH29" s="10">
        <v>1.5959000000000001</v>
      </c>
      <c r="GI29" s="10">
        <v>0.43968000000000002</v>
      </c>
      <c r="GJ29" s="10">
        <v>62.364699999999999</v>
      </c>
      <c r="GK29" s="10">
        <v>39.78</v>
      </c>
      <c r="GL29" s="10">
        <v>29.389399999999998</v>
      </c>
      <c r="GM29" s="10">
        <v>83.917500000000004</v>
      </c>
      <c r="GN29" s="10">
        <v>10.8086</v>
      </c>
      <c r="GO29" s="10">
        <v>2.3378999999999999</v>
      </c>
      <c r="GP29" s="10">
        <v>48.230400000000003</v>
      </c>
      <c r="GQ29" s="11"/>
      <c r="GR29" s="10">
        <v>0.65741000000000005</v>
      </c>
      <c r="GS29" s="10">
        <v>4.7632000000000001E-2</v>
      </c>
      <c r="GT29" s="10">
        <v>20.723099999999999</v>
      </c>
      <c r="GU29" s="10">
        <v>11.870900000000001</v>
      </c>
      <c r="GV29" s="10">
        <v>105.6626</v>
      </c>
      <c r="GW29" s="10">
        <v>43.976900000000001</v>
      </c>
      <c r="GX29" s="11"/>
      <c r="GY29" s="11"/>
      <c r="GZ29" s="10">
        <v>0.61690999999999996</v>
      </c>
      <c r="HA29" s="10">
        <v>708.66470000000004</v>
      </c>
      <c r="HB29" s="10">
        <v>49.652500000000003</v>
      </c>
      <c r="HC29" s="10">
        <v>559.62810000000002</v>
      </c>
      <c r="HD29" s="10">
        <v>4484.3382000000001</v>
      </c>
      <c r="HE29" s="10">
        <v>3.2837999999999998</v>
      </c>
      <c r="HF29" s="10">
        <v>117.39619999999999</v>
      </c>
      <c r="HG29" s="10">
        <v>0.12091</v>
      </c>
      <c r="HH29" s="10">
        <v>101.0265</v>
      </c>
      <c r="HI29" s="10">
        <v>21.0685</v>
      </c>
      <c r="HJ29" s="11"/>
      <c r="HK29" s="11"/>
      <c r="HL29" s="10">
        <v>8.5733999999999995</v>
      </c>
      <c r="HM29" s="10">
        <v>2.7326999999999999</v>
      </c>
      <c r="HN29" s="10">
        <v>10.213699999999999</v>
      </c>
      <c r="HO29" s="10">
        <f t="shared" si="0"/>
        <v>19746.952828000005</v>
      </c>
      <c r="HP29" s="10">
        <f t="shared" si="1"/>
        <v>19.746952828000005</v>
      </c>
      <c r="HQ29" s="10">
        <f t="shared" si="2"/>
        <v>5.3850430400872664</v>
      </c>
      <c r="HR29" s="11"/>
      <c r="HS29" s="11"/>
      <c r="HT29" s="11"/>
      <c r="HU29" s="11"/>
      <c r="HV29" s="11"/>
      <c r="HW29" s="11"/>
    </row>
    <row r="30" spans="1:231" ht="19.95" customHeight="1">
      <c r="A30" s="8">
        <v>1986</v>
      </c>
      <c r="B30" s="9">
        <v>3.1341000000000001</v>
      </c>
      <c r="C30" s="10">
        <v>8.0497999999999994</v>
      </c>
      <c r="D30" s="10">
        <v>76.080399999999997</v>
      </c>
      <c r="E30" s="11"/>
      <c r="F30" s="10">
        <v>4.6337999999999999</v>
      </c>
      <c r="G30" s="11"/>
      <c r="H30" s="10">
        <v>0.24915000000000001</v>
      </c>
      <c r="I30" s="10">
        <v>104.151</v>
      </c>
      <c r="J30" s="10">
        <v>19.4863</v>
      </c>
      <c r="K30" s="10">
        <v>0.17954000000000001</v>
      </c>
      <c r="L30" s="10">
        <v>239.72219999999999</v>
      </c>
      <c r="M30" s="10">
        <v>53.729599999999998</v>
      </c>
      <c r="N30" s="10">
        <v>55.658900000000003</v>
      </c>
      <c r="O30" s="10">
        <v>1.4106000000000001</v>
      </c>
      <c r="P30" s="10">
        <v>11.003</v>
      </c>
      <c r="Q30" s="10">
        <v>11.405799999999999</v>
      </c>
      <c r="R30" s="10">
        <v>0.91605999999999999</v>
      </c>
      <c r="S30" s="10">
        <v>121.428</v>
      </c>
      <c r="T30" s="10">
        <v>102.3678</v>
      </c>
      <c r="U30" s="10">
        <v>0.20518</v>
      </c>
      <c r="V30" s="10">
        <v>0.66542999999999997</v>
      </c>
      <c r="W30" s="10">
        <v>0.42136000000000001</v>
      </c>
      <c r="X30" s="10">
        <v>5.4960000000000002E-2</v>
      </c>
      <c r="Y30" s="10">
        <v>3.7637</v>
      </c>
      <c r="Z30" s="10">
        <v>0.13661000000000001</v>
      </c>
      <c r="AA30" s="10">
        <v>19.5213</v>
      </c>
      <c r="AB30" s="10">
        <v>1.0662</v>
      </c>
      <c r="AC30" s="10">
        <v>197.22620000000001</v>
      </c>
      <c r="AD30" s="10">
        <v>5.4960000000000002E-2</v>
      </c>
      <c r="AE30" s="10">
        <v>2.2972999999999999</v>
      </c>
      <c r="AF30" s="10">
        <v>91.172300000000007</v>
      </c>
      <c r="AG30" s="10">
        <v>0.47998000000000002</v>
      </c>
      <c r="AH30" s="10">
        <v>0.23449999999999999</v>
      </c>
      <c r="AI30" s="10">
        <v>0.43235000000000001</v>
      </c>
      <c r="AJ30" s="10">
        <v>1.9932000000000001</v>
      </c>
      <c r="AK30" s="10">
        <v>404.6601</v>
      </c>
      <c r="AL30" s="10">
        <v>5.8624000000000002E-2</v>
      </c>
      <c r="AM30" s="11"/>
      <c r="AN30" s="10">
        <v>0.16122</v>
      </c>
      <c r="AO30" s="10">
        <v>0.18686</v>
      </c>
      <c r="AP30" s="10">
        <v>22.008800000000001</v>
      </c>
      <c r="AQ30" s="10">
        <v>2052.2420000000002</v>
      </c>
      <c r="AR30" s="10">
        <v>48.754300000000001</v>
      </c>
      <c r="AS30" s="10">
        <v>4.3968E-2</v>
      </c>
      <c r="AT30" s="10">
        <v>1.0624</v>
      </c>
      <c r="AU30" s="10">
        <v>2.1984E-2</v>
      </c>
      <c r="AV30" s="10">
        <v>2.5775000000000001</v>
      </c>
      <c r="AW30" s="10">
        <v>5.5766</v>
      </c>
      <c r="AX30" s="10">
        <v>21.092300000000002</v>
      </c>
      <c r="AY30" s="10">
        <v>33.3752</v>
      </c>
      <c r="AZ30" s="10">
        <v>2.5954999999999999</v>
      </c>
      <c r="BA30" s="10">
        <v>3.6052</v>
      </c>
      <c r="BB30" s="10">
        <v>185.87690000000001</v>
      </c>
      <c r="BC30" s="10">
        <v>3.3456999999999999</v>
      </c>
      <c r="BD30" s="10">
        <v>58.906199999999998</v>
      </c>
      <c r="BE30" s="10">
        <v>0.37739</v>
      </c>
      <c r="BF30" s="10">
        <v>4.7632000000000001E-2</v>
      </c>
      <c r="BG30" s="10">
        <v>8.1211000000000002</v>
      </c>
      <c r="BH30" s="10">
        <v>15.194100000000001</v>
      </c>
      <c r="BI30" s="10">
        <v>74.392899999999997</v>
      </c>
      <c r="BJ30" s="10">
        <v>1.9675</v>
      </c>
      <c r="BK30" s="10">
        <v>8.0607999999999999E-2</v>
      </c>
      <c r="BL30" s="11"/>
      <c r="BM30" s="10">
        <v>34.902799999999999</v>
      </c>
      <c r="BN30" s="10">
        <v>2.1951999999999998</v>
      </c>
      <c r="BO30" s="10">
        <v>0.49098000000000003</v>
      </c>
      <c r="BP30" s="11"/>
      <c r="BQ30" s="10">
        <v>0.59809000000000001</v>
      </c>
      <c r="BR30" s="10">
        <v>53.214599999999997</v>
      </c>
      <c r="BS30" s="10">
        <v>387.44569999999999</v>
      </c>
      <c r="BT30" s="11"/>
      <c r="BU30" s="10">
        <v>0.60821999999999998</v>
      </c>
      <c r="BV30" s="10">
        <v>4.9508000000000001</v>
      </c>
      <c r="BW30" s="10">
        <v>0.16122</v>
      </c>
      <c r="BX30" s="10">
        <v>29.61</v>
      </c>
      <c r="BY30" s="10">
        <v>1047.4631999999999</v>
      </c>
      <c r="BZ30" s="10">
        <v>3.0303</v>
      </c>
      <c r="CA30" s="11"/>
      <c r="CB30" s="10">
        <v>58.273699999999998</v>
      </c>
      <c r="CC30" s="10">
        <v>0.3261</v>
      </c>
      <c r="CD30" s="10">
        <v>6.5951999999999997E-2</v>
      </c>
      <c r="CE30" s="11"/>
      <c r="CF30" s="10">
        <v>3.6646000000000001</v>
      </c>
      <c r="CG30" s="10">
        <v>0.99661</v>
      </c>
      <c r="CH30" s="10">
        <v>0.1832</v>
      </c>
      <c r="CI30" s="10">
        <v>1.0442</v>
      </c>
      <c r="CJ30" s="10">
        <v>0.83021999999999996</v>
      </c>
      <c r="CK30" s="10">
        <v>1.8286</v>
      </c>
      <c r="CL30" s="10">
        <v>25.5259</v>
      </c>
      <c r="CM30" s="10">
        <v>83.240799999999993</v>
      </c>
      <c r="CN30" s="10">
        <v>1.7788999999999999</v>
      </c>
      <c r="CO30" s="10">
        <v>426.82220000000001</v>
      </c>
      <c r="CP30" s="10">
        <v>122.1665</v>
      </c>
      <c r="CQ30" s="10">
        <v>147.536</v>
      </c>
      <c r="CR30" s="10">
        <v>47.229599999999998</v>
      </c>
      <c r="CS30" s="10">
        <v>28.549499999999998</v>
      </c>
      <c r="CT30" s="10">
        <v>26.348099999999999</v>
      </c>
      <c r="CU30" s="10">
        <v>363.18819999999999</v>
      </c>
      <c r="CV30" s="10">
        <v>4.5473999999999997</v>
      </c>
      <c r="CW30" s="10">
        <v>912.26220000000001</v>
      </c>
      <c r="CX30" s="10">
        <v>9.1651000000000007</v>
      </c>
      <c r="CY30" s="10">
        <v>242.73509999999999</v>
      </c>
      <c r="CZ30" s="10">
        <v>4.0730000000000004</v>
      </c>
      <c r="DA30" s="10">
        <v>1.8319999999999999E-2</v>
      </c>
      <c r="DB30" s="11"/>
      <c r="DC30" s="10">
        <v>35.2303</v>
      </c>
      <c r="DD30" s="10">
        <v>22.5518</v>
      </c>
      <c r="DE30" s="10">
        <v>0.20885000000000001</v>
      </c>
      <c r="DF30" s="10">
        <v>18.024999999999999</v>
      </c>
      <c r="DG30" s="10">
        <v>7.4785000000000004</v>
      </c>
      <c r="DH30" s="11"/>
      <c r="DI30" s="10">
        <v>0.72287999999999997</v>
      </c>
      <c r="DJ30" s="10">
        <v>33.895499999999998</v>
      </c>
      <c r="DK30" s="11"/>
      <c r="DL30" s="10">
        <v>34.084400000000002</v>
      </c>
      <c r="DM30" s="10">
        <v>9.1275999999999993</v>
      </c>
      <c r="DN30" s="10">
        <v>0.87570000000000003</v>
      </c>
      <c r="DO30" s="10">
        <v>1.1371</v>
      </c>
      <c r="DP30" s="10">
        <v>0.54844999999999999</v>
      </c>
      <c r="DQ30" s="10">
        <v>40.101399999999998</v>
      </c>
      <c r="DR30" s="10">
        <v>8.0607999999999999E-2</v>
      </c>
      <c r="DS30" s="10">
        <v>0.37961</v>
      </c>
      <c r="DT30" s="10">
        <v>1.4839</v>
      </c>
      <c r="DU30" s="11"/>
      <c r="DV30" s="11"/>
      <c r="DW30" s="10">
        <v>0.37373000000000001</v>
      </c>
      <c r="DX30" s="10">
        <v>0.79874999999999996</v>
      </c>
      <c r="DY30" s="10">
        <v>293.55549999999999</v>
      </c>
      <c r="DZ30" s="11"/>
      <c r="EA30" s="10">
        <v>29.1281</v>
      </c>
      <c r="EB30" s="10">
        <v>9.5951000000000004</v>
      </c>
      <c r="EC30" s="10">
        <v>1.9278999999999999</v>
      </c>
      <c r="ED30" s="10">
        <v>2.9312000000000001E-2</v>
      </c>
      <c r="EE30" s="10">
        <v>18.848199999999999</v>
      </c>
      <c r="EF30" s="10">
        <v>0.97714000000000001</v>
      </c>
      <c r="EG30" s="10">
        <v>6.7563000000000004</v>
      </c>
      <c r="EH30" s="11"/>
      <c r="EI30" s="10">
        <v>0.16122</v>
      </c>
      <c r="EJ30" s="10">
        <v>0.69701000000000002</v>
      </c>
      <c r="EK30" s="10">
        <v>144.0146</v>
      </c>
      <c r="EL30" s="10">
        <v>1.4008</v>
      </c>
      <c r="EM30" s="10">
        <v>22.946100000000001</v>
      </c>
      <c r="EN30" s="10">
        <v>2.2555000000000001</v>
      </c>
      <c r="EO30" s="10">
        <v>0.89895000000000003</v>
      </c>
      <c r="EP30" s="10">
        <v>73.1922</v>
      </c>
      <c r="EQ30" s="10">
        <v>3.6640000000000002E-3</v>
      </c>
      <c r="ER30" s="10">
        <v>156.83529999999999</v>
      </c>
      <c r="ES30" s="10">
        <v>14.277699999999999</v>
      </c>
      <c r="ET30" s="10">
        <v>35.029200000000003</v>
      </c>
      <c r="EU30" s="11"/>
      <c r="EV30" s="10">
        <v>9.8248999999999995</v>
      </c>
      <c r="EW30" s="10">
        <v>49.058599999999998</v>
      </c>
      <c r="EX30" s="11"/>
      <c r="EY30" s="10">
        <v>2.7347999999999999</v>
      </c>
      <c r="EZ30" s="10">
        <v>2.0628000000000002</v>
      </c>
      <c r="FA30" s="10">
        <v>1.6551</v>
      </c>
      <c r="FB30" s="10">
        <v>21.753299999999999</v>
      </c>
      <c r="FC30" s="10">
        <v>29.024699999999999</v>
      </c>
      <c r="FD30" s="10">
        <v>451.84870000000001</v>
      </c>
      <c r="FE30" s="10">
        <v>30.221399999999999</v>
      </c>
      <c r="FF30" s="10">
        <v>13.266999999999999</v>
      </c>
      <c r="FG30" s="10">
        <v>0.35364000000000001</v>
      </c>
      <c r="FH30" s="11"/>
      <c r="FI30" s="10">
        <v>201.6413</v>
      </c>
      <c r="FJ30" s="10">
        <v>2357.6424999999999</v>
      </c>
      <c r="FK30" s="10">
        <v>0.59723000000000004</v>
      </c>
      <c r="FL30" s="10">
        <v>3.6640000000000002E-3</v>
      </c>
      <c r="FM30" s="10">
        <v>5.8624000000000002E-2</v>
      </c>
      <c r="FN30" s="10">
        <v>0.13189999999999999</v>
      </c>
      <c r="FO30" s="10">
        <v>4.7632000000000001E-2</v>
      </c>
      <c r="FP30" s="10">
        <v>6.5951999999999997E-2</v>
      </c>
      <c r="FQ30" s="10">
        <v>0.11358</v>
      </c>
      <c r="FR30" s="10">
        <v>5.1296000000000001E-2</v>
      </c>
      <c r="FS30" s="10">
        <v>204.60059999999999</v>
      </c>
      <c r="FT30" s="10">
        <v>2.6364000000000001</v>
      </c>
      <c r="FU30" s="10">
        <v>56.5792</v>
      </c>
      <c r="FV30" s="10">
        <v>0.16488</v>
      </c>
      <c r="FW30" s="10">
        <v>0.67418</v>
      </c>
      <c r="FX30" s="10">
        <v>34.8765</v>
      </c>
      <c r="FY30" s="10">
        <v>59.562399999999997</v>
      </c>
      <c r="FZ30" s="10">
        <v>15.983000000000001</v>
      </c>
      <c r="GA30" s="10">
        <v>0.15389</v>
      </c>
      <c r="GB30" s="10">
        <v>0.92332999999999998</v>
      </c>
      <c r="GC30" s="10">
        <v>330.5265</v>
      </c>
      <c r="GD30" s="10">
        <v>182.67179999999999</v>
      </c>
      <c r="GE30" s="10">
        <v>189.1121</v>
      </c>
      <c r="GF30" s="10">
        <v>3.6602999999999999</v>
      </c>
      <c r="GG30" s="10">
        <v>3.8834</v>
      </c>
      <c r="GH30" s="10">
        <v>1.7568999999999999</v>
      </c>
      <c r="GI30" s="10">
        <v>0.45800000000000002</v>
      </c>
      <c r="GJ30" s="10">
        <v>62.0105</v>
      </c>
      <c r="GK30" s="10">
        <v>42.245600000000003</v>
      </c>
      <c r="GL30" s="10">
        <v>31.0732</v>
      </c>
      <c r="GM30" s="10">
        <v>93.411000000000001</v>
      </c>
      <c r="GN30" s="10">
        <v>10.8369</v>
      </c>
      <c r="GO30" s="10">
        <v>2.2776000000000001</v>
      </c>
      <c r="GP30" s="10">
        <v>49.223399999999998</v>
      </c>
      <c r="GQ30" s="11"/>
      <c r="GR30" s="10">
        <v>0.84582999999999997</v>
      </c>
      <c r="GS30" s="10">
        <v>4.7632000000000001E-2</v>
      </c>
      <c r="GT30" s="10">
        <v>17.354800000000001</v>
      </c>
      <c r="GU30" s="10">
        <v>11.9924</v>
      </c>
      <c r="GV30" s="10">
        <v>115.6182</v>
      </c>
      <c r="GW30" s="10">
        <v>44.084200000000003</v>
      </c>
      <c r="GX30" s="11"/>
      <c r="GY30" s="11"/>
      <c r="GZ30" s="10">
        <v>0.70184999999999997</v>
      </c>
      <c r="HA30" s="10">
        <v>710.36680000000001</v>
      </c>
      <c r="HB30" s="10">
        <v>47.030099999999997</v>
      </c>
      <c r="HC30" s="10">
        <v>568.5548</v>
      </c>
      <c r="HD30" s="10">
        <v>4487.8558999999996</v>
      </c>
      <c r="HE30" s="10">
        <v>3.1648999999999998</v>
      </c>
      <c r="HF30" s="10">
        <v>117.6026</v>
      </c>
      <c r="HG30" s="10">
        <v>5.8624000000000002E-2</v>
      </c>
      <c r="HH30" s="10">
        <v>109.2398</v>
      </c>
      <c r="HI30" s="10">
        <v>20.751300000000001</v>
      </c>
      <c r="HJ30" s="11"/>
      <c r="HK30" s="11"/>
      <c r="HL30" s="10">
        <v>8.1920000000000002</v>
      </c>
      <c r="HM30" s="10">
        <v>2.8656000000000001</v>
      </c>
      <c r="HN30" s="10">
        <v>13.068</v>
      </c>
      <c r="HO30" s="10">
        <f t="shared" si="0"/>
        <v>20007.224685999998</v>
      </c>
      <c r="HP30" s="10">
        <f t="shared" si="1"/>
        <v>20.007224685999997</v>
      </c>
      <c r="HQ30" s="10">
        <f t="shared" si="2"/>
        <v>5.4560198216525766</v>
      </c>
      <c r="HR30" s="11"/>
      <c r="HS30" s="11"/>
      <c r="HT30" s="11"/>
      <c r="HU30" s="11"/>
      <c r="HV30" s="11"/>
      <c r="HW30" s="11"/>
    </row>
    <row r="31" spans="1:231" ht="19.95" customHeight="1">
      <c r="A31" s="8">
        <v>1987</v>
      </c>
      <c r="B31" s="9">
        <v>3.1143999999999998</v>
      </c>
      <c r="C31" s="10">
        <v>7.4379</v>
      </c>
      <c r="D31" s="10">
        <v>83.883499999999998</v>
      </c>
      <c r="E31" s="11"/>
      <c r="F31" s="10">
        <v>5.7859999999999996</v>
      </c>
      <c r="G31" s="11"/>
      <c r="H31" s="10">
        <v>0.27479999999999999</v>
      </c>
      <c r="I31" s="10">
        <v>114.8783</v>
      </c>
      <c r="J31" s="10">
        <v>19.4133</v>
      </c>
      <c r="K31" s="10">
        <v>0.44701000000000002</v>
      </c>
      <c r="L31" s="10">
        <v>255.8502</v>
      </c>
      <c r="M31" s="10">
        <v>57.375100000000003</v>
      </c>
      <c r="N31" s="10">
        <v>55.435899999999997</v>
      </c>
      <c r="O31" s="10">
        <v>1.4216</v>
      </c>
      <c r="P31" s="10">
        <v>11.4207</v>
      </c>
      <c r="Q31" s="10">
        <v>11.7997</v>
      </c>
      <c r="R31" s="10">
        <v>0.94177</v>
      </c>
      <c r="S31" s="10">
        <v>120.8916</v>
      </c>
      <c r="T31" s="10">
        <v>102.5898</v>
      </c>
      <c r="U31" s="10">
        <v>0.22717000000000001</v>
      </c>
      <c r="V31" s="10">
        <v>0.51719000000000004</v>
      </c>
      <c r="W31" s="10">
        <v>0.57157999999999998</v>
      </c>
      <c r="X31" s="10">
        <v>0.10259</v>
      </c>
      <c r="Y31" s="10">
        <v>4.0118</v>
      </c>
      <c r="Z31" s="10">
        <v>0.12145</v>
      </c>
      <c r="AA31" s="10">
        <v>19.057500000000001</v>
      </c>
      <c r="AB31" s="10">
        <v>1.2383999999999999</v>
      </c>
      <c r="AC31" s="10">
        <v>205.78870000000001</v>
      </c>
      <c r="AD31" s="10">
        <v>6.2288000000000003E-2</v>
      </c>
      <c r="AE31" s="10">
        <v>3.3159000000000001</v>
      </c>
      <c r="AF31" s="10">
        <v>91.273200000000003</v>
      </c>
      <c r="AG31" s="10">
        <v>0.51661999999999997</v>
      </c>
      <c r="AH31" s="10">
        <v>0.24915000000000001</v>
      </c>
      <c r="AI31" s="10">
        <v>0.43602000000000002</v>
      </c>
      <c r="AJ31" s="10">
        <v>1.843</v>
      </c>
      <c r="AK31" s="10">
        <v>430.92169999999999</v>
      </c>
      <c r="AL31" s="10">
        <v>8.0607999999999999E-2</v>
      </c>
      <c r="AM31" s="11"/>
      <c r="AN31" s="10">
        <v>0.26013999999999998</v>
      </c>
      <c r="AO31" s="10">
        <v>0.19786000000000001</v>
      </c>
      <c r="AP31" s="10">
        <v>22.393999999999998</v>
      </c>
      <c r="AQ31" s="10">
        <v>2191.0529999999999</v>
      </c>
      <c r="AR31" s="10">
        <v>50.124000000000002</v>
      </c>
      <c r="AS31" s="10">
        <v>4.7632000000000001E-2</v>
      </c>
      <c r="AT31" s="10">
        <v>1.3201000000000001</v>
      </c>
      <c r="AU31" s="10">
        <v>2.1984E-2</v>
      </c>
      <c r="AV31" s="10">
        <v>2.7239</v>
      </c>
      <c r="AW31" s="10">
        <v>7.35</v>
      </c>
      <c r="AX31" s="10">
        <v>20.5885</v>
      </c>
      <c r="AY31" s="10">
        <v>33.733400000000003</v>
      </c>
      <c r="AZ31" s="10">
        <v>2.3075000000000001</v>
      </c>
      <c r="BA31" s="10">
        <v>4.1840999999999999</v>
      </c>
      <c r="BB31" s="10">
        <v>183.65799999999999</v>
      </c>
      <c r="BC31" s="10">
        <v>3.8159000000000001</v>
      </c>
      <c r="BD31" s="10">
        <v>58.345500000000001</v>
      </c>
      <c r="BE31" s="10">
        <v>0.38838</v>
      </c>
      <c r="BF31" s="10">
        <v>4.7632000000000001E-2</v>
      </c>
      <c r="BG31" s="10">
        <v>9.6873000000000005</v>
      </c>
      <c r="BH31" s="10">
        <v>15.0223</v>
      </c>
      <c r="BI31" s="10">
        <v>74.613500000000002</v>
      </c>
      <c r="BJ31" s="10">
        <v>2.4144999999999999</v>
      </c>
      <c r="BK31" s="10">
        <v>9.8928000000000002E-2</v>
      </c>
      <c r="BL31" s="11"/>
      <c r="BM31" s="10">
        <v>34.799999999999997</v>
      </c>
      <c r="BN31" s="10">
        <v>2.5543999999999998</v>
      </c>
      <c r="BO31" s="10">
        <v>0.49830000000000002</v>
      </c>
      <c r="BP31" s="11"/>
      <c r="BQ31" s="10">
        <v>0.47199999999999998</v>
      </c>
      <c r="BR31" s="10">
        <v>57.533700000000003</v>
      </c>
      <c r="BS31" s="10">
        <v>379.70929999999998</v>
      </c>
      <c r="BT31" s="11"/>
      <c r="BU31" s="10">
        <v>0.61189000000000004</v>
      </c>
      <c r="BV31" s="10">
        <v>4.0095000000000001</v>
      </c>
      <c r="BW31" s="10">
        <v>0.17954000000000001</v>
      </c>
      <c r="BX31" s="10">
        <v>29.487200000000001</v>
      </c>
      <c r="BY31" s="10">
        <v>1032.4338</v>
      </c>
      <c r="BZ31" s="10">
        <v>3.2635999999999998</v>
      </c>
      <c r="CA31" s="11"/>
      <c r="CB31" s="10">
        <v>62.575600000000001</v>
      </c>
      <c r="CC31" s="10">
        <v>0.23449999999999999</v>
      </c>
      <c r="CD31" s="10">
        <v>7.3279999999999998E-2</v>
      </c>
      <c r="CE31" s="11"/>
      <c r="CF31" s="10">
        <v>3.9184000000000001</v>
      </c>
      <c r="CG31" s="10">
        <v>0.99294000000000004</v>
      </c>
      <c r="CH31" s="10">
        <v>0.19419</v>
      </c>
      <c r="CI31" s="10">
        <v>1.3080000000000001</v>
      </c>
      <c r="CJ31" s="10">
        <v>0.89878999999999998</v>
      </c>
      <c r="CK31" s="10">
        <v>2.1484999999999999</v>
      </c>
      <c r="CL31" s="10">
        <v>28.085599999999999</v>
      </c>
      <c r="CM31" s="10">
        <v>84.136499999999998</v>
      </c>
      <c r="CN31" s="10">
        <v>1.8433999999999999</v>
      </c>
      <c r="CO31" s="10">
        <v>455.89109999999999</v>
      </c>
      <c r="CP31" s="10">
        <v>123.8789</v>
      </c>
      <c r="CQ31" s="10">
        <v>158.60740000000001</v>
      </c>
      <c r="CR31" s="10">
        <v>52.183799999999998</v>
      </c>
      <c r="CS31" s="10">
        <v>30.2254</v>
      </c>
      <c r="CT31" s="10">
        <v>27.0687</v>
      </c>
      <c r="CU31" s="10">
        <v>380.0992</v>
      </c>
      <c r="CV31" s="10">
        <v>5.3792999999999997</v>
      </c>
      <c r="CW31" s="10">
        <v>902.53279999999995</v>
      </c>
      <c r="CX31" s="10">
        <v>9.5060000000000002</v>
      </c>
      <c r="CY31" s="10">
        <v>241.55430000000001</v>
      </c>
      <c r="CZ31" s="10">
        <v>5.0758999999999999</v>
      </c>
      <c r="DA31" s="10">
        <v>2.1984E-2</v>
      </c>
      <c r="DB31" s="11"/>
      <c r="DC31" s="10">
        <v>31.3779</v>
      </c>
      <c r="DD31" s="10">
        <v>22.459099999999999</v>
      </c>
      <c r="DE31" s="10">
        <v>0.21251</v>
      </c>
      <c r="DF31" s="10">
        <v>17.961600000000001</v>
      </c>
      <c r="DG31" s="10">
        <v>7.6703999999999999</v>
      </c>
      <c r="DH31" s="11"/>
      <c r="DI31" s="10">
        <v>0.75846000000000002</v>
      </c>
      <c r="DJ31" s="10">
        <v>32.348300000000002</v>
      </c>
      <c r="DK31" s="11"/>
      <c r="DL31" s="10">
        <v>34.019799999999996</v>
      </c>
      <c r="DM31" s="10">
        <v>8.8351000000000006</v>
      </c>
      <c r="DN31" s="10">
        <v>0.97096000000000005</v>
      </c>
      <c r="DO31" s="10">
        <v>1.2824</v>
      </c>
      <c r="DP31" s="10">
        <v>0.54071000000000002</v>
      </c>
      <c r="DQ31" s="10">
        <v>40.877200000000002</v>
      </c>
      <c r="DR31" s="10">
        <v>8.0607999999999999E-2</v>
      </c>
      <c r="DS31" s="10">
        <v>0.35749999999999998</v>
      </c>
      <c r="DT31" s="10">
        <v>1.8540000000000001</v>
      </c>
      <c r="DU31" s="11"/>
      <c r="DV31" s="11"/>
      <c r="DW31" s="10">
        <v>3.2425999999999999</v>
      </c>
      <c r="DX31" s="10">
        <v>0.93066000000000004</v>
      </c>
      <c r="DY31" s="10">
        <v>306.19439999999997</v>
      </c>
      <c r="DZ31" s="11"/>
      <c r="EA31" s="10">
        <v>29.007400000000001</v>
      </c>
      <c r="EB31" s="10">
        <v>10.4825</v>
      </c>
      <c r="EC31" s="10">
        <v>1.8823000000000001</v>
      </c>
      <c r="ED31" s="10">
        <v>2.9312000000000001E-2</v>
      </c>
      <c r="EE31" s="10">
        <v>20.0825</v>
      </c>
      <c r="EF31" s="10">
        <v>0.97675000000000001</v>
      </c>
      <c r="EG31" s="10">
        <v>4.9433999999999996</v>
      </c>
      <c r="EH31" s="11"/>
      <c r="EI31" s="10">
        <v>0.15755</v>
      </c>
      <c r="EJ31" s="10">
        <v>0.86068</v>
      </c>
      <c r="EK31" s="10">
        <v>151.48050000000001</v>
      </c>
      <c r="EL31" s="10">
        <v>1.4544999999999999</v>
      </c>
      <c r="EM31" s="10">
        <v>24.165400000000002</v>
      </c>
      <c r="EN31" s="10">
        <v>2.431</v>
      </c>
      <c r="EO31" s="10">
        <v>0.99765999999999999</v>
      </c>
      <c r="EP31" s="10">
        <v>59.0244</v>
      </c>
      <c r="EQ31" s="10">
        <v>3.6640000000000002E-3</v>
      </c>
      <c r="ER31" s="10">
        <v>175.61869999999999</v>
      </c>
      <c r="ES31" s="10">
        <v>13.939399999999999</v>
      </c>
      <c r="ET31" s="10">
        <v>33.457500000000003</v>
      </c>
      <c r="EU31" s="11"/>
      <c r="EV31" s="10">
        <v>9.4017999999999997</v>
      </c>
      <c r="EW31" s="10">
        <v>52.988500000000002</v>
      </c>
      <c r="EX31" s="11"/>
      <c r="EY31" s="10">
        <v>3.1796000000000002</v>
      </c>
      <c r="EZ31" s="10">
        <v>2.3340000000000001</v>
      </c>
      <c r="FA31" s="10">
        <v>1.8774</v>
      </c>
      <c r="FB31" s="10">
        <v>25.664200000000001</v>
      </c>
      <c r="FC31" s="10">
        <v>32.495800000000003</v>
      </c>
      <c r="FD31" s="10">
        <v>463.73259999999999</v>
      </c>
      <c r="FE31" s="10">
        <v>31.198599999999999</v>
      </c>
      <c r="FF31" s="10">
        <v>11.470499999999999</v>
      </c>
      <c r="FG31" s="10">
        <v>0.27888000000000002</v>
      </c>
      <c r="FH31" s="11"/>
      <c r="FI31" s="10">
        <v>211.63159999999999</v>
      </c>
      <c r="FJ31" s="10">
        <v>2347.9122000000002</v>
      </c>
      <c r="FK31" s="10">
        <v>0.61138000000000003</v>
      </c>
      <c r="FL31" s="10">
        <v>3.6640000000000002E-3</v>
      </c>
      <c r="FM31" s="10">
        <v>5.4960000000000002E-2</v>
      </c>
      <c r="FN31" s="10">
        <v>0.14656</v>
      </c>
      <c r="FO31" s="10">
        <v>5.1296000000000001E-2</v>
      </c>
      <c r="FP31" s="10">
        <v>7.6943999999999999E-2</v>
      </c>
      <c r="FQ31" s="10">
        <v>0.11358</v>
      </c>
      <c r="FR31" s="10">
        <v>5.1296000000000001E-2</v>
      </c>
      <c r="FS31" s="10">
        <v>190.44370000000001</v>
      </c>
      <c r="FT31" s="10">
        <v>2.4245999999999999</v>
      </c>
      <c r="FU31" s="10">
        <v>55.223100000000002</v>
      </c>
      <c r="FV31" s="10">
        <v>0.20152</v>
      </c>
      <c r="FW31" s="10">
        <v>0.49830000000000002</v>
      </c>
      <c r="FX31" s="10">
        <v>32.460500000000003</v>
      </c>
      <c r="FY31" s="10">
        <v>58.868400000000001</v>
      </c>
      <c r="FZ31" s="10">
        <v>15.5792</v>
      </c>
      <c r="GA31" s="10">
        <v>0.16122</v>
      </c>
      <c r="GB31" s="10">
        <v>0.99294000000000004</v>
      </c>
      <c r="GC31" s="10">
        <v>328.69600000000003</v>
      </c>
      <c r="GD31" s="10">
        <v>192.93989999999999</v>
      </c>
      <c r="GE31" s="10">
        <v>189.50749999999999</v>
      </c>
      <c r="GF31" s="10">
        <v>4.0269000000000004</v>
      </c>
      <c r="GG31" s="10">
        <v>3.0611999999999999</v>
      </c>
      <c r="GH31" s="10">
        <v>1.7567999999999999</v>
      </c>
      <c r="GI31" s="10">
        <v>0.43602000000000002</v>
      </c>
      <c r="GJ31" s="10">
        <v>59.695599999999999</v>
      </c>
      <c r="GK31" s="10">
        <v>40.204099999999997</v>
      </c>
      <c r="GL31" s="10">
        <v>35.942900000000002</v>
      </c>
      <c r="GM31" s="10">
        <v>97.123400000000004</v>
      </c>
      <c r="GN31" s="10">
        <v>10.7925</v>
      </c>
      <c r="GO31" s="10">
        <v>2.3675000000000002</v>
      </c>
      <c r="GP31" s="10">
        <v>56.306199999999997</v>
      </c>
      <c r="GQ31" s="11"/>
      <c r="GR31" s="10">
        <v>0.92262</v>
      </c>
      <c r="GS31" s="10">
        <v>5.4960000000000002E-2</v>
      </c>
      <c r="GT31" s="10">
        <v>17.489100000000001</v>
      </c>
      <c r="GU31" s="10">
        <v>11.6633</v>
      </c>
      <c r="GV31" s="10">
        <v>128.4426</v>
      </c>
      <c r="GW31" s="10">
        <v>43.901000000000003</v>
      </c>
      <c r="GX31" s="11"/>
      <c r="GY31" s="11"/>
      <c r="GZ31" s="10">
        <v>0.76856999999999998</v>
      </c>
      <c r="HA31" s="10">
        <v>707.34310000000005</v>
      </c>
      <c r="HB31" s="10">
        <v>47.450400000000002</v>
      </c>
      <c r="HC31" s="10">
        <v>571.66849999999999</v>
      </c>
      <c r="HD31" s="10">
        <v>4680.8341</v>
      </c>
      <c r="HE31" s="10">
        <v>3.5425</v>
      </c>
      <c r="HF31" s="10">
        <v>117.0915</v>
      </c>
      <c r="HG31" s="10">
        <v>4.7632000000000001E-2</v>
      </c>
      <c r="HH31" s="10">
        <v>110.6611</v>
      </c>
      <c r="HI31" s="10">
        <v>24.096</v>
      </c>
      <c r="HJ31" s="11"/>
      <c r="HK31" s="11"/>
      <c r="HL31" s="10">
        <v>8.6266999999999996</v>
      </c>
      <c r="HM31" s="10">
        <v>2.6738</v>
      </c>
      <c r="HN31" s="10">
        <v>15.1701</v>
      </c>
      <c r="HO31" s="10">
        <f t="shared" si="0"/>
        <v>20532.084481999995</v>
      </c>
      <c r="HP31" s="10">
        <f t="shared" si="1"/>
        <v>20.532084481999995</v>
      </c>
      <c r="HQ31" s="10">
        <f t="shared" si="2"/>
        <v>5.5991503905099522</v>
      </c>
      <c r="HR31" s="11"/>
      <c r="HS31" s="11"/>
      <c r="HT31" s="11"/>
      <c r="HU31" s="11"/>
      <c r="HV31" s="11"/>
      <c r="HW31" s="11"/>
    </row>
    <row r="32" spans="1:231" ht="19.95" customHeight="1">
      <c r="A32" s="8">
        <v>1988</v>
      </c>
      <c r="B32" s="9">
        <v>2.8574999999999999</v>
      </c>
      <c r="C32" s="10">
        <v>7.3207000000000004</v>
      </c>
      <c r="D32" s="10">
        <v>83.707999999999998</v>
      </c>
      <c r="E32" s="11"/>
      <c r="F32" s="10">
        <v>5.0492999999999997</v>
      </c>
      <c r="G32" s="11"/>
      <c r="H32" s="10">
        <v>0.28578999999999999</v>
      </c>
      <c r="I32" s="10">
        <v>121.4059</v>
      </c>
      <c r="J32" s="10">
        <v>19.935500000000001</v>
      </c>
      <c r="K32" s="10">
        <v>0.61189000000000004</v>
      </c>
      <c r="L32" s="10">
        <v>260.87880000000001</v>
      </c>
      <c r="M32" s="10">
        <v>52.938499999999998</v>
      </c>
      <c r="N32" s="10">
        <v>56.919400000000003</v>
      </c>
      <c r="O32" s="10">
        <v>1.5388999999999999</v>
      </c>
      <c r="P32" s="10">
        <v>12.1426</v>
      </c>
      <c r="Q32" s="10">
        <v>13.478400000000001</v>
      </c>
      <c r="R32" s="10">
        <v>0.94547000000000003</v>
      </c>
      <c r="S32" s="10">
        <v>124.10339999999999</v>
      </c>
      <c r="T32" s="10">
        <v>99.744100000000003</v>
      </c>
      <c r="U32" s="10">
        <v>0.24915000000000001</v>
      </c>
      <c r="V32" s="10">
        <v>0.53805000000000003</v>
      </c>
      <c r="W32" s="10">
        <v>0.64485999999999999</v>
      </c>
      <c r="X32" s="10">
        <v>0.10992</v>
      </c>
      <c r="Y32" s="10">
        <v>4.2868000000000004</v>
      </c>
      <c r="Z32" s="10">
        <v>0.11963</v>
      </c>
      <c r="AA32" s="10">
        <v>19.664400000000001</v>
      </c>
      <c r="AB32" s="10">
        <v>1.3007</v>
      </c>
      <c r="AC32" s="10">
        <v>207.56299999999999</v>
      </c>
      <c r="AD32" s="10">
        <v>6.5951999999999997E-2</v>
      </c>
      <c r="AE32" s="10">
        <v>5.7122000000000002</v>
      </c>
      <c r="AF32" s="10">
        <v>86.913300000000007</v>
      </c>
      <c r="AG32" s="10">
        <v>0.55325999999999997</v>
      </c>
      <c r="AH32" s="10">
        <v>0.22717000000000001</v>
      </c>
      <c r="AI32" s="10">
        <v>0.45067000000000002</v>
      </c>
      <c r="AJ32" s="10">
        <v>2.1539999999999999</v>
      </c>
      <c r="AK32" s="10">
        <v>455.608</v>
      </c>
      <c r="AL32" s="10">
        <v>7.3279999999999998E-2</v>
      </c>
      <c r="AM32" s="11"/>
      <c r="AN32" s="10">
        <v>0.23083000000000001</v>
      </c>
      <c r="AO32" s="10">
        <v>6.5951999999999997E-2</v>
      </c>
      <c r="AP32" s="10">
        <v>26.579799999999999</v>
      </c>
      <c r="AQ32" s="10">
        <v>2347.7635</v>
      </c>
      <c r="AR32" s="10">
        <v>52.017400000000002</v>
      </c>
      <c r="AS32" s="10">
        <v>5.1296000000000001E-2</v>
      </c>
      <c r="AT32" s="10">
        <v>1.4928999999999999</v>
      </c>
      <c r="AU32" s="10">
        <v>2.1984E-2</v>
      </c>
      <c r="AV32" s="10">
        <v>2.9058999999999999</v>
      </c>
      <c r="AW32" s="10">
        <v>8.8046000000000006</v>
      </c>
      <c r="AX32" s="10">
        <v>21.250499999999999</v>
      </c>
      <c r="AY32" s="10">
        <v>35.398699999999998</v>
      </c>
      <c r="AZ32" s="10">
        <v>2.2730000000000001</v>
      </c>
      <c r="BA32" s="10">
        <v>4.1966000000000001</v>
      </c>
      <c r="BB32" s="10">
        <v>180.6114</v>
      </c>
      <c r="BC32" s="10">
        <v>3.9780000000000002</v>
      </c>
      <c r="BD32" s="10">
        <v>55.111400000000003</v>
      </c>
      <c r="BE32" s="10">
        <v>0.34808</v>
      </c>
      <c r="BF32" s="10">
        <v>5.4960000000000002E-2</v>
      </c>
      <c r="BG32" s="10">
        <v>9.7398000000000007</v>
      </c>
      <c r="BH32" s="10">
        <v>17.168600000000001</v>
      </c>
      <c r="BI32" s="10">
        <v>74.3095</v>
      </c>
      <c r="BJ32" s="10">
        <v>2.4331</v>
      </c>
      <c r="BK32" s="10">
        <v>0.10625999999999999</v>
      </c>
      <c r="BL32" s="11"/>
      <c r="BM32" s="10">
        <v>35.743000000000002</v>
      </c>
      <c r="BN32" s="10">
        <v>2.6400999999999999</v>
      </c>
      <c r="BO32" s="10">
        <v>0.52761999999999998</v>
      </c>
      <c r="BP32" s="11"/>
      <c r="BQ32" s="10">
        <v>0.54976999999999998</v>
      </c>
      <c r="BR32" s="10">
        <v>52.058399999999999</v>
      </c>
      <c r="BS32" s="10">
        <v>374.6746</v>
      </c>
      <c r="BT32" s="11"/>
      <c r="BU32" s="10">
        <v>0.57525000000000004</v>
      </c>
      <c r="BV32" s="10">
        <v>4.3207000000000004</v>
      </c>
      <c r="BW32" s="10">
        <v>0.1832</v>
      </c>
      <c r="BX32" s="10">
        <v>30.273499999999999</v>
      </c>
      <c r="BY32" s="10">
        <v>1029.0143</v>
      </c>
      <c r="BZ32" s="10">
        <v>3.4112</v>
      </c>
      <c r="CA32" s="11"/>
      <c r="CB32" s="10">
        <v>67.051100000000005</v>
      </c>
      <c r="CC32" s="10">
        <v>0.54593999999999998</v>
      </c>
      <c r="CD32" s="10">
        <v>9.5264000000000001E-2</v>
      </c>
      <c r="CE32" s="11"/>
      <c r="CF32" s="10">
        <v>4.0753000000000004</v>
      </c>
      <c r="CG32" s="10">
        <v>1.0259</v>
      </c>
      <c r="CH32" s="10">
        <v>0.21618000000000001</v>
      </c>
      <c r="CI32" s="10">
        <v>1.4033</v>
      </c>
      <c r="CJ32" s="10">
        <v>1.0077</v>
      </c>
      <c r="CK32" s="10">
        <v>2.4699</v>
      </c>
      <c r="CL32" s="10">
        <v>29.284800000000001</v>
      </c>
      <c r="CM32" s="10">
        <v>78.0548</v>
      </c>
      <c r="CN32" s="10">
        <v>1.8393999999999999</v>
      </c>
      <c r="CO32" s="10">
        <v>492.28800000000001</v>
      </c>
      <c r="CP32" s="10">
        <v>132.7217</v>
      </c>
      <c r="CQ32" s="10">
        <v>175.1078</v>
      </c>
      <c r="CR32" s="10">
        <v>67.127399999999994</v>
      </c>
      <c r="CS32" s="10">
        <v>29.8825</v>
      </c>
      <c r="CT32" s="10">
        <v>29.702400000000001</v>
      </c>
      <c r="CU32" s="10">
        <v>385.96300000000002</v>
      </c>
      <c r="CV32" s="10">
        <v>4.5258000000000003</v>
      </c>
      <c r="CW32" s="10">
        <v>985.46709999999996</v>
      </c>
      <c r="CX32" s="10">
        <v>9.1769999999999996</v>
      </c>
      <c r="CY32" s="10">
        <v>247.8811</v>
      </c>
      <c r="CZ32" s="10">
        <v>4.6900000000000004</v>
      </c>
      <c r="DA32" s="10">
        <v>2.1984E-2</v>
      </c>
      <c r="DB32" s="11"/>
      <c r="DC32" s="10">
        <v>32.825099999999999</v>
      </c>
      <c r="DD32" s="10">
        <v>23.0581</v>
      </c>
      <c r="DE32" s="10">
        <v>0.21251</v>
      </c>
      <c r="DF32" s="10">
        <v>18.447099999999999</v>
      </c>
      <c r="DG32" s="10">
        <v>7.3456999999999999</v>
      </c>
      <c r="DH32" s="11"/>
      <c r="DI32" s="10">
        <v>0.80918000000000001</v>
      </c>
      <c r="DJ32" s="10">
        <v>36.160400000000003</v>
      </c>
      <c r="DK32" s="11"/>
      <c r="DL32" s="10">
        <v>34.960500000000003</v>
      </c>
      <c r="DM32" s="10">
        <v>9.1266999999999996</v>
      </c>
      <c r="DN32" s="10">
        <v>0.96362999999999999</v>
      </c>
      <c r="DO32" s="10">
        <v>1.2858000000000001</v>
      </c>
      <c r="DP32" s="10">
        <v>0.53720000000000001</v>
      </c>
      <c r="DQ32" s="10">
        <v>42.868699999999997</v>
      </c>
      <c r="DR32" s="10">
        <v>9.5264000000000001E-2</v>
      </c>
      <c r="DS32" s="10">
        <v>0.38302999999999998</v>
      </c>
      <c r="DT32" s="10">
        <v>2.0114999999999998</v>
      </c>
      <c r="DU32" s="11"/>
      <c r="DV32" s="11"/>
      <c r="DW32" s="10">
        <v>3.1840000000000002</v>
      </c>
      <c r="DX32" s="10">
        <v>0.85370999999999997</v>
      </c>
      <c r="DY32" s="10">
        <v>305.8494</v>
      </c>
      <c r="DZ32" s="11"/>
      <c r="EA32" s="10">
        <v>29.781600000000001</v>
      </c>
      <c r="EB32" s="10">
        <v>11.492800000000001</v>
      </c>
      <c r="EC32" s="10">
        <v>1.9421999999999999</v>
      </c>
      <c r="ED32" s="10">
        <v>2.9312000000000001E-2</v>
      </c>
      <c r="EE32" s="10">
        <v>21.139199999999999</v>
      </c>
      <c r="EF32" s="10">
        <v>1.0062</v>
      </c>
      <c r="EG32" s="10">
        <v>4.0867000000000004</v>
      </c>
      <c r="EH32" s="11"/>
      <c r="EI32" s="10">
        <v>0.15755</v>
      </c>
      <c r="EJ32" s="10">
        <v>0.97597</v>
      </c>
      <c r="EK32" s="10">
        <v>145.60300000000001</v>
      </c>
      <c r="EL32" s="10">
        <v>1.5012000000000001</v>
      </c>
      <c r="EM32" s="10">
        <v>25.4495</v>
      </c>
      <c r="EN32" s="10">
        <v>2.2400000000000002</v>
      </c>
      <c r="EO32" s="10">
        <v>0.98702999999999996</v>
      </c>
      <c r="EP32" s="10">
        <v>70.421300000000002</v>
      </c>
      <c r="EQ32" s="10">
        <v>3.6640000000000002E-3</v>
      </c>
      <c r="ER32" s="10">
        <v>200.8081</v>
      </c>
      <c r="ES32" s="10">
        <v>14.383599999999999</v>
      </c>
      <c r="ET32" s="10">
        <v>35.878900000000002</v>
      </c>
      <c r="EU32" s="11"/>
      <c r="EV32" s="10">
        <v>10.5166</v>
      </c>
      <c r="EW32" s="10">
        <v>57.607399999999998</v>
      </c>
      <c r="EX32" s="11"/>
      <c r="EY32" s="10">
        <v>2.9146999999999998</v>
      </c>
      <c r="EZ32" s="10">
        <v>2.1983999999999999</v>
      </c>
      <c r="FA32" s="10">
        <v>2.1446999999999998</v>
      </c>
      <c r="FB32" s="10">
        <v>24.985800000000001</v>
      </c>
      <c r="FC32" s="10">
        <v>37.484699999999997</v>
      </c>
      <c r="FD32" s="10">
        <v>444.23</v>
      </c>
      <c r="FE32" s="10">
        <v>32.567900000000002</v>
      </c>
      <c r="FF32" s="10">
        <v>11.8977</v>
      </c>
      <c r="FG32" s="10">
        <v>0.40337000000000001</v>
      </c>
      <c r="FH32" s="11"/>
      <c r="FI32" s="10">
        <v>212.2216</v>
      </c>
      <c r="FJ32" s="10">
        <v>2410.6271999999999</v>
      </c>
      <c r="FK32" s="10">
        <v>0.69227000000000005</v>
      </c>
      <c r="FL32" s="10">
        <v>7.3280000000000003E-3</v>
      </c>
      <c r="FM32" s="10">
        <v>6.5951999999999997E-2</v>
      </c>
      <c r="FN32" s="10">
        <v>0.16488</v>
      </c>
      <c r="FO32" s="10">
        <v>6.5951999999999997E-2</v>
      </c>
      <c r="FP32" s="10">
        <v>6.5951999999999997E-2</v>
      </c>
      <c r="FQ32" s="10">
        <v>0.11358</v>
      </c>
      <c r="FR32" s="10">
        <v>4.7632000000000001E-2</v>
      </c>
      <c r="FS32" s="10">
        <v>202.24770000000001</v>
      </c>
      <c r="FT32" s="10">
        <v>2.7107999999999999</v>
      </c>
      <c r="FU32" s="10">
        <v>56.973799999999997</v>
      </c>
      <c r="FV32" s="10">
        <v>0.19786000000000001</v>
      </c>
      <c r="FW32" s="10">
        <v>0.45800000000000002</v>
      </c>
      <c r="FX32" s="10">
        <v>35.949199999999998</v>
      </c>
      <c r="FY32" s="10">
        <v>57.921999999999997</v>
      </c>
      <c r="FZ32" s="10">
        <v>16.146999999999998</v>
      </c>
      <c r="GA32" s="10">
        <v>0.15755</v>
      </c>
      <c r="GB32" s="10">
        <v>1.0037</v>
      </c>
      <c r="GC32" s="10">
        <v>342.69639999999998</v>
      </c>
      <c r="GD32" s="10">
        <v>222.30779999999999</v>
      </c>
      <c r="GE32" s="10">
        <v>197.4572</v>
      </c>
      <c r="GF32" s="10">
        <v>3.4565999999999999</v>
      </c>
      <c r="GG32" s="10">
        <v>4.4298000000000002</v>
      </c>
      <c r="GH32" s="10">
        <v>1.8738999999999999</v>
      </c>
      <c r="GI32" s="10">
        <v>0.43602000000000002</v>
      </c>
      <c r="GJ32" s="10">
        <v>57.426000000000002</v>
      </c>
      <c r="GK32" s="10">
        <v>40.661200000000001</v>
      </c>
      <c r="GL32" s="10">
        <v>36.679099999999998</v>
      </c>
      <c r="GM32" s="10">
        <v>111.81780000000001</v>
      </c>
      <c r="GN32" s="10">
        <v>11.0807</v>
      </c>
      <c r="GO32" s="10">
        <v>2.2717000000000001</v>
      </c>
      <c r="GP32" s="10">
        <v>66.2029</v>
      </c>
      <c r="GQ32" s="11"/>
      <c r="GR32" s="10">
        <v>0.96091000000000004</v>
      </c>
      <c r="GS32" s="10">
        <v>6.9615999999999997E-2</v>
      </c>
      <c r="GT32" s="10">
        <v>15.8331</v>
      </c>
      <c r="GU32" s="10">
        <v>12.376799999999999</v>
      </c>
      <c r="GV32" s="10">
        <v>124.72799999999999</v>
      </c>
      <c r="GW32" s="10">
        <v>45.0702</v>
      </c>
      <c r="GX32" s="11"/>
      <c r="GY32" s="11"/>
      <c r="GZ32" s="10">
        <v>0.86287000000000003</v>
      </c>
      <c r="HA32" s="10">
        <v>726.13919999999996</v>
      </c>
      <c r="HB32" s="10">
        <v>48.095599999999997</v>
      </c>
      <c r="HC32" s="10">
        <v>570.29489999999998</v>
      </c>
      <c r="HD32" s="10">
        <v>4885.5905000000002</v>
      </c>
      <c r="HE32" s="10">
        <v>4.7859999999999996</v>
      </c>
      <c r="HF32" s="10">
        <v>120.1952</v>
      </c>
      <c r="HG32" s="10">
        <v>6.5951999999999997E-2</v>
      </c>
      <c r="HH32" s="10">
        <v>115.7518</v>
      </c>
      <c r="HI32" s="10">
        <v>23.008700000000001</v>
      </c>
      <c r="HJ32" s="11"/>
      <c r="HK32" s="11"/>
      <c r="HL32" s="10">
        <v>9.5502000000000002</v>
      </c>
      <c r="HM32" s="10">
        <v>3.109</v>
      </c>
      <c r="HN32" s="10">
        <v>16.029499999999999</v>
      </c>
      <c r="HO32" s="10">
        <f t="shared" si="0"/>
        <v>21317.581306000004</v>
      </c>
      <c r="HP32" s="10">
        <f t="shared" si="1"/>
        <v>21.317581306000005</v>
      </c>
      <c r="HQ32" s="10">
        <f t="shared" si="2"/>
        <v>5.8133573236978471</v>
      </c>
      <c r="HR32" s="11"/>
      <c r="HS32" s="11"/>
      <c r="HT32" s="11"/>
      <c r="HU32" s="11"/>
      <c r="HV32" s="11"/>
      <c r="HW32" s="11"/>
    </row>
    <row r="33" spans="1:231" ht="19.95" customHeight="1">
      <c r="A33" s="8">
        <v>1989</v>
      </c>
      <c r="B33" s="9">
        <v>2.7654999999999998</v>
      </c>
      <c r="C33" s="10">
        <v>8.9768000000000008</v>
      </c>
      <c r="D33" s="10">
        <v>79.808300000000003</v>
      </c>
      <c r="E33" s="11"/>
      <c r="F33" s="10">
        <v>4.9226999999999999</v>
      </c>
      <c r="G33" s="11"/>
      <c r="H33" s="10">
        <v>0.28578999999999999</v>
      </c>
      <c r="I33" s="10">
        <v>117.0213</v>
      </c>
      <c r="J33" s="10">
        <v>19.496099999999998</v>
      </c>
      <c r="K33" s="10">
        <v>0.64853000000000005</v>
      </c>
      <c r="L33" s="10">
        <v>277.48559999999998</v>
      </c>
      <c r="M33" s="10">
        <v>53.697600000000001</v>
      </c>
      <c r="N33" s="10">
        <v>55.6526</v>
      </c>
      <c r="O33" s="10">
        <v>1.9456</v>
      </c>
      <c r="P33" s="10">
        <v>11.716699999999999</v>
      </c>
      <c r="Q33" s="10">
        <v>13.382400000000001</v>
      </c>
      <c r="R33" s="10">
        <v>0.98951999999999996</v>
      </c>
      <c r="S33" s="10">
        <v>121.31189999999999</v>
      </c>
      <c r="T33" s="10">
        <v>106.79349999999999</v>
      </c>
      <c r="U33" s="10">
        <v>0.30044999999999999</v>
      </c>
      <c r="V33" s="10">
        <v>0.60965000000000003</v>
      </c>
      <c r="W33" s="10">
        <v>0.78042999999999996</v>
      </c>
      <c r="X33" s="10">
        <v>6.2288000000000003E-2</v>
      </c>
      <c r="Y33" s="10">
        <v>4.9683999999999999</v>
      </c>
      <c r="Z33" s="10">
        <v>0.22772999999999999</v>
      </c>
      <c r="AA33" s="10">
        <v>19.603999999999999</v>
      </c>
      <c r="AB33" s="10">
        <v>1.429</v>
      </c>
      <c r="AC33" s="10">
        <v>212.11359999999999</v>
      </c>
      <c r="AD33" s="10">
        <v>6.5951999999999997E-2</v>
      </c>
      <c r="AE33" s="10">
        <v>6.3423999999999996</v>
      </c>
      <c r="AF33" s="10">
        <v>86.482200000000006</v>
      </c>
      <c r="AG33" s="10">
        <v>0.82074000000000003</v>
      </c>
      <c r="AH33" s="10">
        <v>0.26746999999999999</v>
      </c>
      <c r="AI33" s="10">
        <v>0.45067000000000002</v>
      </c>
      <c r="AJ33" s="10">
        <v>7.5777000000000001</v>
      </c>
      <c r="AK33" s="10">
        <v>462.8177</v>
      </c>
      <c r="AL33" s="10">
        <v>8.0607999999999999E-2</v>
      </c>
      <c r="AM33" s="11"/>
      <c r="AN33" s="10">
        <v>0.24915000000000001</v>
      </c>
      <c r="AO33" s="10">
        <v>0.10259</v>
      </c>
      <c r="AP33" s="10">
        <v>31.995100000000001</v>
      </c>
      <c r="AQ33" s="10">
        <v>2386.8850000000002</v>
      </c>
      <c r="AR33" s="10">
        <v>52.7928</v>
      </c>
      <c r="AS33" s="10">
        <v>5.1296000000000001E-2</v>
      </c>
      <c r="AT33" s="10">
        <v>1.4956</v>
      </c>
      <c r="AU33" s="10">
        <v>2.1984E-2</v>
      </c>
      <c r="AV33" s="10">
        <v>2.9333</v>
      </c>
      <c r="AW33" s="10">
        <v>8.266</v>
      </c>
      <c r="AX33" s="10">
        <v>21.183800000000002</v>
      </c>
      <c r="AY33" s="10">
        <v>35.512999999999998</v>
      </c>
      <c r="AZ33" s="10">
        <v>4.3269000000000002</v>
      </c>
      <c r="BA33" s="10">
        <v>4.4284999999999997</v>
      </c>
      <c r="BB33" s="10">
        <v>172.31219999999999</v>
      </c>
      <c r="BC33" s="10">
        <v>4.3520000000000003</v>
      </c>
      <c r="BD33" s="10">
        <v>48.807699999999997</v>
      </c>
      <c r="BE33" s="10">
        <v>0.38838</v>
      </c>
      <c r="BF33" s="10">
        <v>5.8624000000000002E-2</v>
      </c>
      <c r="BG33" s="10">
        <v>10.257899999999999</v>
      </c>
      <c r="BH33" s="10">
        <v>20.153700000000001</v>
      </c>
      <c r="BI33" s="10">
        <v>71.904600000000002</v>
      </c>
      <c r="BJ33" s="10">
        <v>2.5472000000000001</v>
      </c>
      <c r="BK33" s="10">
        <v>0.11724999999999999</v>
      </c>
      <c r="BL33" s="11"/>
      <c r="BM33" s="10">
        <v>34.937600000000003</v>
      </c>
      <c r="BN33" s="10">
        <v>2.7940999999999998</v>
      </c>
      <c r="BO33" s="10">
        <v>0.57891000000000004</v>
      </c>
      <c r="BP33" s="11"/>
      <c r="BQ33" s="10">
        <v>0.62519999999999998</v>
      </c>
      <c r="BR33" s="10">
        <v>52.448300000000003</v>
      </c>
      <c r="BS33" s="10">
        <v>392.9246</v>
      </c>
      <c r="BT33" s="11"/>
      <c r="BU33" s="10">
        <v>0.54227000000000003</v>
      </c>
      <c r="BV33" s="10">
        <v>5.7575000000000003</v>
      </c>
      <c r="BW33" s="10">
        <v>0.17954000000000001</v>
      </c>
      <c r="BX33" s="10">
        <v>29.596299999999999</v>
      </c>
      <c r="BY33" s="10">
        <v>1008.7815000000001</v>
      </c>
      <c r="BZ33" s="10">
        <v>3.2949999999999999</v>
      </c>
      <c r="CA33" s="11"/>
      <c r="CB33" s="10">
        <v>73.23</v>
      </c>
      <c r="CC33" s="10">
        <v>0.47266000000000002</v>
      </c>
      <c r="CD33" s="10">
        <v>0.10259</v>
      </c>
      <c r="CE33" s="11"/>
      <c r="CF33" s="10">
        <v>4.1882000000000001</v>
      </c>
      <c r="CG33" s="10">
        <v>1.0442</v>
      </c>
      <c r="CH33" s="10">
        <v>0.23083000000000001</v>
      </c>
      <c r="CI33" s="10">
        <v>1.1835</v>
      </c>
      <c r="CJ33" s="10">
        <v>1.0230999999999999</v>
      </c>
      <c r="CK33" s="10">
        <v>2.6856</v>
      </c>
      <c r="CL33" s="10">
        <v>30.141200000000001</v>
      </c>
      <c r="CM33" s="10">
        <v>75.917199999999994</v>
      </c>
      <c r="CN33" s="10">
        <v>1.8948</v>
      </c>
      <c r="CO33" s="10">
        <v>541.28930000000003</v>
      </c>
      <c r="CP33" s="10">
        <v>131.67420000000001</v>
      </c>
      <c r="CQ33" s="10">
        <v>190.09800000000001</v>
      </c>
      <c r="CR33" s="10">
        <v>72.241799999999998</v>
      </c>
      <c r="CS33" s="10">
        <v>30.059899999999999</v>
      </c>
      <c r="CT33" s="10">
        <v>31.393999999999998</v>
      </c>
      <c r="CU33" s="10">
        <v>404.74270000000001</v>
      </c>
      <c r="CV33" s="10">
        <v>6.7244999999999999</v>
      </c>
      <c r="CW33" s="10">
        <v>1021.6848</v>
      </c>
      <c r="CX33" s="10">
        <v>9.0798000000000005</v>
      </c>
      <c r="CY33" s="10">
        <v>242.10910000000001</v>
      </c>
      <c r="CZ33" s="10">
        <v>5.0884999999999998</v>
      </c>
      <c r="DA33" s="10">
        <v>2.1984E-2</v>
      </c>
      <c r="DB33" s="11"/>
      <c r="DC33" s="10">
        <v>35.771599999999999</v>
      </c>
      <c r="DD33" s="10">
        <v>22.5428</v>
      </c>
      <c r="DE33" s="10">
        <v>0.23083000000000001</v>
      </c>
      <c r="DF33" s="10">
        <v>18.043800000000001</v>
      </c>
      <c r="DG33" s="10">
        <v>7.7207999999999997</v>
      </c>
      <c r="DH33" s="11"/>
      <c r="DI33" s="10">
        <v>0.65959000000000001</v>
      </c>
      <c r="DJ33" s="10">
        <v>37.0685</v>
      </c>
      <c r="DK33" s="11"/>
      <c r="DL33" s="10">
        <v>34.234099999999998</v>
      </c>
      <c r="DM33" s="10">
        <v>9.8757999999999999</v>
      </c>
      <c r="DN33" s="10">
        <v>1.0296000000000001</v>
      </c>
      <c r="DO33" s="10">
        <v>0.92579999999999996</v>
      </c>
      <c r="DP33" s="10">
        <v>0.55820999999999998</v>
      </c>
      <c r="DQ33" s="10">
        <v>50.083199999999998</v>
      </c>
      <c r="DR33" s="10">
        <v>0.12458</v>
      </c>
      <c r="DS33" s="10">
        <v>0.41588000000000003</v>
      </c>
      <c r="DT33" s="10">
        <v>2.1690999999999998</v>
      </c>
      <c r="DU33" s="11"/>
      <c r="DV33" s="11"/>
      <c r="DW33" s="10">
        <v>2.8029999999999999</v>
      </c>
      <c r="DX33" s="10">
        <v>1.0516000000000001</v>
      </c>
      <c r="DY33" s="10">
        <v>360.55529999999999</v>
      </c>
      <c r="DZ33" s="11"/>
      <c r="EA33" s="10">
        <v>29.115600000000001</v>
      </c>
      <c r="EB33" s="10">
        <v>10.459</v>
      </c>
      <c r="EC33" s="10">
        <v>1.9362999999999999</v>
      </c>
      <c r="ED33" s="10">
        <v>2.9312000000000001E-2</v>
      </c>
      <c r="EE33" s="10">
        <v>22.8796</v>
      </c>
      <c r="EF33" s="10">
        <v>1.0345</v>
      </c>
      <c r="EG33" s="10">
        <v>4.4253</v>
      </c>
      <c r="EH33" s="11"/>
      <c r="EI33" s="10">
        <v>0.15755</v>
      </c>
      <c r="EJ33" s="10">
        <v>0.89356000000000002</v>
      </c>
      <c r="EK33" s="10">
        <v>161.6645</v>
      </c>
      <c r="EL33" s="10">
        <v>1.6395</v>
      </c>
      <c r="EM33" s="10">
        <v>25.453399999999998</v>
      </c>
      <c r="EN33" s="10">
        <v>1.4682999999999999</v>
      </c>
      <c r="EO33" s="10">
        <v>1.0382</v>
      </c>
      <c r="EP33" s="10">
        <v>42.119399999999999</v>
      </c>
      <c r="EQ33" s="10">
        <v>3.6640000000000002E-3</v>
      </c>
      <c r="ER33" s="10">
        <v>213.07149999999999</v>
      </c>
      <c r="ES33" s="10">
        <v>14.339700000000001</v>
      </c>
      <c r="ET33" s="10">
        <v>34.441600000000001</v>
      </c>
      <c r="EU33" s="11"/>
      <c r="EV33" s="10">
        <v>9.9856999999999996</v>
      </c>
      <c r="EW33" s="10">
        <v>60.316600000000001</v>
      </c>
      <c r="EX33" s="11"/>
      <c r="EY33" s="10">
        <v>2.5103</v>
      </c>
      <c r="EZ33" s="10">
        <v>2.0335000000000001</v>
      </c>
      <c r="FA33" s="10">
        <v>2.2244999999999999</v>
      </c>
      <c r="FB33" s="10">
        <v>21.7319</v>
      </c>
      <c r="FC33" s="10">
        <v>38.906500000000001</v>
      </c>
      <c r="FD33" s="10">
        <v>422.17509999999999</v>
      </c>
      <c r="FE33" s="10">
        <v>40.822600000000001</v>
      </c>
      <c r="FF33" s="10">
        <v>14.292400000000001</v>
      </c>
      <c r="FG33" s="10">
        <v>0.31274999999999997</v>
      </c>
      <c r="FH33" s="11"/>
      <c r="FI33" s="10">
        <v>213.5994</v>
      </c>
      <c r="FJ33" s="10">
        <v>2356.6302999999998</v>
      </c>
      <c r="FK33" s="10">
        <v>0.68420000000000003</v>
      </c>
      <c r="FL33" s="10">
        <v>7.3280000000000003E-3</v>
      </c>
      <c r="FM33" s="10">
        <v>6.5951999999999997E-2</v>
      </c>
      <c r="FN33" s="10">
        <v>0.16488</v>
      </c>
      <c r="FO33" s="10">
        <v>0.10259</v>
      </c>
      <c r="FP33" s="10">
        <v>7.6943999999999999E-2</v>
      </c>
      <c r="FQ33" s="10">
        <v>0.12091</v>
      </c>
      <c r="FR33" s="10">
        <v>4.7632000000000001E-2</v>
      </c>
      <c r="FS33" s="10">
        <v>203.41919999999999</v>
      </c>
      <c r="FT33" s="10">
        <v>3.6619000000000002</v>
      </c>
      <c r="FU33" s="10">
        <v>56.792299999999997</v>
      </c>
      <c r="FV33" s="10">
        <v>0.23449999999999999</v>
      </c>
      <c r="FW33" s="10">
        <v>0.37373000000000001</v>
      </c>
      <c r="FX33" s="10">
        <v>41.7087</v>
      </c>
      <c r="FY33" s="10">
        <v>55.285699999999999</v>
      </c>
      <c r="FZ33" s="10">
        <v>16.067</v>
      </c>
      <c r="GA33" s="10">
        <v>0.16122</v>
      </c>
      <c r="GB33" s="10">
        <v>0.95206999999999997</v>
      </c>
      <c r="GC33" s="10">
        <v>340.7527</v>
      </c>
      <c r="GD33" s="10">
        <v>236.2482</v>
      </c>
      <c r="GE33" s="10">
        <v>224.88460000000001</v>
      </c>
      <c r="GF33" s="10">
        <v>3.4470000000000001</v>
      </c>
      <c r="GG33" s="10">
        <v>3.4308000000000001</v>
      </c>
      <c r="GH33" s="10">
        <v>1.8517999999999999</v>
      </c>
      <c r="GI33" s="10">
        <v>0.43602000000000002</v>
      </c>
      <c r="GJ33" s="10">
        <v>55.521799999999999</v>
      </c>
      <c r="GK33" s="10">
        <v>39.4176</v>
      </c>
      <c r="GL33" s="10">
        <v>34.271299999999997</v>
      </c>
      <c r="GM33" s="10">
        <v>121.6922</v>
      </c>
      <c r="GN33" s="10">
        <v>10.833299999999999</v>
      </c>
      <c r="GO33" s="10">
        <v>2.1616</v>
      </c>
      <c r="GP33" s="10">
        <v>77.784199999999998</v>
      </c>
      <c r="GQ33" s="11"/>
      <c r="GR33" s="10">
        <v>1.0214000000000001</v>
      </c>
      <c r="GS33" s="10">
        <v>6.9615999999999997E-2</v>
      </c>
      <c r="GT33" s="10">
        <v>16.105</v>
      </c>
      <c r="GU33" s="10">
        <v>13.1404</v>
      </c>
      <c r="GV33" s="10">
        <v>137.57050000000001</v>
      </c>
      <c r="GW33" s="10">
        <v>44.059100000000001</v>
      </c>
      <c r="GX33" s="11"/>
      <c r="GY33" s="11"/>
      <c r="GZ33" s="10">
        <v>0.80047999999999997</v>
      </c>
      <c r="HA33" s="10">
        <v>709.73770000000002</v>
      </c>
      <c r="HB33" s="10">
        <v>54.186100000000003</v>
      </c>
      <c r="HC33" s="10">
        <v>581.57730000000004</v>
      </c>
      <c r="HD33" s="10">
        <v>4948.0212000000001</v>
      </c>
      <c r="HE33" s="10">
        <v>4.8525999999999998</v>
      </c>
      <c r="HF33" s="10">
        <v>117.4423</v>
      </c>
      <c r="HG33" s="10">
        <v>6.2288000000000003E-2</v>
      </c>
      <c r="HH33" s="10">
        <v>108.5711</v>
      </c>
      <c r="HI33" s="10">
        <v>17.326000000000001</v>
      </c>
      <c r="HJ33" s="11"/>
      <c r="HK33" s="11"/>
      <c r="HL33" s="10">
        <v>9.9351000000000003</v>
      </c>
      <c r="HM33" s="10">
        <v>2.57</v>
      </c>
      <c r="HN33" s="10">
        <v>16.113700000000001</v>
      </c>
      <c r="HO33" s="10">
        <f t="shared" si="0"/>
        <v>21627.227171999995</v>
      </c>
      <c r="HP33" s="10">
        <f t="shared" si="1"/>
        <v>21.627227171999994</v>
      </c>
      <c r="HQ33" s="10">
        <f t="shared" si="2"/>
        <v>5.8977985197709284</v>
      </c>
      <c r="HR33" s="11"/>
      <c r="HS33" s="11"/>
      <c r="HT33" s="11"/>
      <c r="HU33" s="11"/>
      <c r="HV33" s="11"/>
      <c r="HW33" s="11"/>
    </row>
    <row r="34" spans="1:231" ht="19.95" customHeight="1">
      <c r="A34" s="8">
        <v>1990</v>
      </c>
      <c r="B34" s="9">
        <v>2.6032000000000002</v>
      </c>
      <c r="C34" s="10">
        <v>5.4447000000000001</v>
      </c>
      <c r="D34" s="10">
        <v>76.736599999999996</v>
      </c>
      <c r="E34" s="10">
        <v>0.40670000000000001</v>
      </c>
      <c r="F34" s="10">
        <v>5.0887000000000002</v>
      </c>
      <c r="G34" s="10">
        <v>5.1296000000000001E-2</v>
      </c>
      <c r="H34" s="10">
        <v>0.21984000000000001</v>
      </c>
      <c r="I34" s="10">
        <v>112.0791</v>
      </c>
      <c r="J34" s="10">
        <v>18.2119</v>
      </c>
      <c r="K34" s="10">
        <v>0.48731000000000002</v>
      </c>
      <c r="L34" s="10">
        <v>278.42469999999997</v>
      </c>
      <c r="M34" s="10">
        <v>62.124699999999997</v>
      </c>
      <c r="N34" s="10">
        <v>51.947200000000002</v>
      </c>
      <c r="O34" s="10">
        <v>1.8392999999999999</v>
      </c>
      <c r="P34" s="10">
        <v>12.4054</v>
      </c>
      <c r="Q34" s="10">
        <v>14.081899999999999</v>
      </c>
      <c r="R34" s="10">
        <v>1.0702</v>
      </c>
      <c r="S34" s="10">
        <v>103.6897</v>
      </c>
      <c r="T34" s="10">
        <v>120.30929999999999</v>
      </c>
      <c r="U34" s="10">
        <v>0.31143999999999999</v>
      </c>
      <c r="V34" s="10">
        <v>0.68067999999999995</v>
      </c>
      <c r="W34" s="10">
        <v>0.50197000000000003</v>
      </c>
      <c r="X34" s="10">
        <v>0.12823999999999999</v>
      </c>
      <c r="Y34" s="10">
        <v>5.7267999999999999</v>
      </c>
      <c r="Z34" s="10">
        <v>0.24388000000000001</v>
      </c>
      <c r="AA34" s="10">
        <v>19.413699999999999</v>
      </c>
      <c r="AB34" s="10">
        <v>2.7004000000000001</v>
      </c>
      <c r="AC34" s="10">
        <v>206.9211</v>
      </c>
      <c r="AD34" s="10">
        <v>6.5951999999999997E-2</v>
      </c>
      <c r="AE34" s="10">
        <v>6.1885000000000003</v>
      </c>
      <c r="AF34" s="10">
        <v>76.698999999999998</v>
      </c>
      <c r="AG34" s="10">
        <v>0.58257999999999999</v>
      </c>
      <c r="AH34" s="10">
        <v>0.20885000000000001</v>
      </c>
      <c r="AI34" s="10">
        <v>1.2604</v>
      </c>
      <c r="AJ34" s="10">
        <v>0.62663000000000002</v>
      </c>
      <c r="AK34" s="10">
        <v>462.11739999999998</v>
      </c>
      <c r="AL34" s="10">
        <v>9.5264000000000001E-2</v>
      </c>
      <c r="AM34" s="11"/>
      <c r="AN34" s="10">
        <v>0.19786000000000001</v>
      </c>
      <c r="AO34" s="10">
        <v>0.37739</v>
      </c>
      <c r="AP34" s="10">
        <v>32.882199999999997</v>
      </c>
      <c r="AQ34" s="10">
        <v>2420.7894000000001</v>
      </c>
      <c r="AR34" s="10">
        <v>56.8977</v>
      </c>
      <c r="AS34" s="10">
        <v>6.2288000000000003E-2</v>
      </c>
      <c r="AT34" s="10">
        <v>1.0072000000000001</v>
      </c>
      <c r="AU34" s="10">
        <v>3.6639999999999999E-2</v>
      </c>
      <c r="AV34" s="10">
        <v>2.9119999999999999</v>
      </c>
      <c r="AW34" s="10">
        <v>4.7815000000000003</v>
      </c>
      <c r="AX34" s="10">
        <v>23.3292</v>
      </c>
      <c r="AY34" s="10">
        <v>32.735599999999998</v>
      </c>
      <c r="AZ34" s="10">
        <v>4.6337000000000002</v>
      </c>
      <c r="BA34" s="10">
        <v>4.6569000000000003</v>
      </c>
      <c r="BB34" s="10">
        <v>164.20419999999999</v>
      </c>
      <c r="BC34" s="10">
        <v>4.2499000000000002</v>
      </c>
      <c r="BD34" s="10">
        <v>53.552799999999998</v>
      </c>
      <c r="BE34" s="10">
        <v>0.32242999999999999</v>
      </c>
      <c r="BF34" s="10">
        <v>5.8624000000000002E-2</v>
      </c>
      <c r="BG34" s="10">
        <v>9.1516999999999999</v>
      </c>
      <c r="BH34" s="10">
        <v>16.457799999999999</v>
      </c>
      <c r="BI34" s="10">
        <v>75.218900000000005</v>
      </c>
      <c r="BJ34" s="10">
        <v>2.4744999999999999</v>
      </c>
      <c r="BK34" s="10">
        <v>6.2288000000000003E-2</v>
      </c>
      <c r="BL34" s="11"/>
      <c r="BM34" s="10">
        <v>36.907200000000003</v>
      </c>
      <c r="BN34" s="10">
        <v>2.9857999999999998</v>
      </c>
      <c r="BO34" s="10">
        <v>0.70348999999999995</v>
      </c>
      <c r="BP34" s="11"/>
      <c r="BQ34" s="10">
        <v>0.80603999999999998</v>
      </c>
      <c r="BR34" s="10">
        <v>56.971899999999998</v>
      </c>
      <c r="BS34" s="10">
        <v>400.98329999999999</v>
      </c>
      <c r="BT34" s="11"/>
      <c r="BU34" s="10">
        <v>0.43968000000000002</v>
      </c>
      <c r="BV34" s="10">
        <v>4.4854000000000003</v>
      </c>
      <c r="BW34" s="10">
        <v>0.19786000000000001</v>
      </c>
      <c r="BX34" s="10">
        <v>27.629000000000001</v>
      </c>
      <c r="BY34" s="10">
        <v>1052.3485000000001</v>
      </c>
      <c r="BZ34" s="10">
        <v>3.7915000000000001</v>
      </c>
      <c r="CA34" s="11"/>
      <c r="CB34" s="10">
        <v>83.4255</v>
      </c>
      <c r="CC34" s="10">
        <v>0.34808</v>
      </c>
      <c r="CD34" s="10">
        <v>0.10625999999999999</v>
      </c>
      <c r="CE34" s="11"/>
      <c r="CF34" s="10">
        <v>4.9702000000000002</v>
      </c>
      <c r="CG34" s="10">
        <v>1.0039</v>
      </c>
      <c r="CH34" s="10">
        <v>0.17221</v>
      </c>
      <c r="CI34" s="10">
        <v>1.1285000000000001</v>
      </c>
      <c r="CJ34" s="10">
        <v>0.99436000000000002</v>
      </c>
      <c r="CK34" s="10">
        <v>2.4226999999999999</v>
      </c>
      <c r="CL34" s="10">
        <v>27.147099999999998</v>
      </c>
      <c r="CM34" s="10">
        <v>73.4649</v>
      </c>
      <c r="CN34" s="10">
        <v>2.2477999999999998</v>
      </c>
      <c r="CO34" s="10">
        <v>578.68380000000002</v>
      </c>
      <c r="CP34" s="10">
        <v>150.2859</v>
      </c>
      <c r="CQ34" s="10">
        <v>209.23830000000001</v>
      </c>
      <c r="CR34" s="10">
        <v>49.056800000000003</v>
      </c>
      <c r="CS34" s="10">
        <v>32.944299999999998</v>
      </c>
      <c r="CT34" s="10">
        <v>35.823099999999997</v>
      </c>
      <c r="CU34" s="10">
        <v>438.00880000000001</v>
      </c>
      <c r="CV34" s="10">
        <v>7.5270999999999999</v>
      </c>
      <c r="CW34" s="10">
        <v>1158.3913</v>
      </c>
      <c r="CX34" s="10">
        <v>10.4779</v>
      </c>
      <c r="CY34" s="10">
        <v>281.214</v>
      </c>
      <c r="CZ34" s="10">
        <v>5.6860999999999997</v>
      </c>
      <c r="DA34" s="10">
        <v>2.1984E-2</v>
      </c>
      <c r="DB34" s="11"/>
      <c r="DC34" s="10">
        <v>37.805799999999998</v>
      </c>
      <c r="DD34" s="10">
        <v>21.107299999999999</v>
      </c>
      <c r="DE34" s="10">
        <v>0.51295999999999997</v>
      </c>
      <c r="DF34" s="10">
        <v>19.504100000000001</v>
      </c>
      <c r="DG34" s="10">
        <v>7.8678999999999997</v>
      </c>
      <c r="DH34" s="10">
        <v>1.4729000000000001</v>
      </c>
      <c r="DI34" s="10">
        <v>0.46814</v>
      </c>
      <c r="DJ34" s="10">
        <v>36.512999999999998</v>
      </c>
      <c r="DK34" s="10">
        <v>0.19897000000000001</v>
      </c>
      <c r="DL34" s="10">
        <v>35.771799999999999</v>
      </c>
      <c r="DM34" s="10">
        <v>11.8476</v>
      </c>
      <c r="DN34" s="10">
        <v>1.0331999999999999</v>
      </c>
      <c r="DO34" s="10">
        <v>0.92915999999999999</v>
      </c>
      <c r="DP34" s="10">
        <v>0.73902000000000001</v>
      </c>
      <c r="DQ34" s="10">
        <v>55.277200000000001</v>
      </c>
      <c r="DR34" s="10">
        <v>0.17221</v>
      </c>
      <c r="DS34" s="10">
        <v>0.42309000000000002</v>
      </c>
      <c r="DT34" s="10">
        <v>2.4085000000000001</v>
      </c>
      <c r="DU34" s="11"/>
      <c r="DV34" s="11"/>
      <c r="DW34" s="10">
        <v>0.85370999999999997</v>
      </c>
      <c r="DX34" s="10">
        <v>1.4619</v>
      </c>
      <c r="DY34" s="10">
        <v>317.04239999999999</v>
      </c>
      <c r="DZ34" s="11"/>
      <c r="EA34" s="10">
        <v>27.779</v>
      </c>
      <c r="EB34" s="10">
        <v>9.89</v>
      </c>
      <c r="EC34" s="10">
        <v>1.9155</v>
      </c>
      <c r="ED34" s="10">
        <v>2.9312000000000001E-2</v>
      </c>
      <c r="EE34" s="10">
        <v>22.5276</v>
      </c>
      <c r="EF34" s="10">
        <v>1.0152000000000001</v>
      </c>
      <c r="EG34" s="10">
        <v>4.2347999999999999</v>
      </c>
      <c r="EH34" s="11"/>
      <c r="EI34" s="10">
        <v>0.12458</v>
      </c>
      <c r="EJ34" s="10">
        <v>0.76673999999999998</v>
      </c>
      <c r="EK34" s="10">
        <v>162.38509999999999</v>
      </c>
      <c r="EL34" s="10">
        <v>1.5768</v>
      </c>
      <c r="EM34" s="10">
        <v>25.446300000000001</v>
      </c>
      <c r="EN34" s="10">
        <v>1.9552</v>
      </c>
      <c r="EO34" s="10">
        <v>0.60262000000000004</v>
      </c>
      <c r="EP34" s="10">
        <v>38.857199999999999</v>
      </c>
      <c r="EQ34" s="10">
        <v>7.3280000000000003E-3</v>
      </c>
      <c r="ER34" s="10">
        <v>122.4</v>
      </c>
      <c r="ES34" s="10">
        <v>14.185499999999999</v>
      </c>
      <c r="ET34" s="10">
        <v>35.321300000000001</v>
      </c>
      <c r="EU34" s="10">
        <v>0.86104000000000003</v>
      </c>
      <c r="EV34" s="10">
        <v>11.2224</v>
      </c>
      <c r="EW34" s="10">
        <v>67.828500000000005</v>
      </c>
      <c r="EX34" s="11"/>
      <c r="EY34" s="10">
        <v>2.6328</v>
      </c>
      <c r="EZ34" s="10">
        <v>2.1543999999999999</v>
      </c>
      <c r="FA34" s="10">
        <v>2.1356000000000002</v>
      </c>
      <c r="FB34" s="10">
        <v>21.366599999999998</v>
      </c>
      <c r="FC34" s="10">
        <v>41.349499999999999</v>
      </c>
      <c r="FD34" s="10">
        <v>376.54649999999998</v>
      </c>
      <c r="FE34" s="10">
        <v>45.082999999999998</v>
      </c>
      <c r="FF34" s="10">
        <v>11.7437</v>
      </c>
      <c r="FG34" s="10">
        <v>0.43389</v>
      </c>
      <c r="FH34" s="11"/>
      <c r="FI34" s="10">
        <v>169.2859</v>
      </c>
      <c r="FJ34" s="10">
        <v>2525.2937999999999</v>
      </c>
      <c r="FK34" s="10">
        <v>0.52332000000000001</v>
      </c>
      <c r="FL34" s="10">
        <v>7.3280000000000003E-3</v>
      </c>
      <c r="FM34" s="10">
        <v>0.10625999999999999</v>
      </c>
      <c r="FN34" s="10">
        <v>0.16122</v>
      </c>
      <c r="FO34" s="10">
        <v>9.1600000000000001E-2</v>
      </c>
      <c r="FP34" s="10">
        <v>8.0607999999999999E-2</v>
      </c>
      <c r="FQ34" s="10">
        <v>0.10259</v>
      </c>
      <c r="FR34" s="10">
        <v>4.7632000000000001E-2</v>
      </c>
      <c r="FS34" s="10">
        <v>185.4853</v>
      </c>
      <c r="FT34" s="10">
        <v>3.1389999999999998</v>
      </c>
      <c r="FU34" s="10">
        <v>56.448399999999999</v>
      </c>
      <c r="FV34" s="10">
        <v>0.15021999999999999</v>
      </c>
      <c r="FW34" s="10">
        <v>0.53861000000000003</v>
      </c>
      <c r="FX34" s="10">
        <v>44.290599999999998</v>
      </c>
      <c r="FY34" s="10">
        <v>61.633499999999998</v>
      </c>
      <c r="FZ34" s="10">
        <v>15.0938</v>
      </c>
      <c r="GA34" s="10">
        <v>0.14656</v>
      </c>
      <c r="GB34" s="10">
        <v>0.72957000000000005</v>
      </c>
      <c r="GC34" s="10">
        <v>312.97219999999999</v>
      </c>
      <c r="GD34" s="10">
        <v>247.43819999999999</v>
      </c>
      <c r="GE34" s="10">
        <v>231.21360000000001</v>
      </c>
      <c r="GF34" s="10">
        <v>3.8294999999999999</v>
      </c>
      <c r="GG34" s="10">
        <v>4.7689000000000004</v>
      </c>
      <c r="GH34" s="10">
        <v>1.738</v>
      </c>
      <c r="GI34" s="10">
        <v>0.96362999999999999</v>
      </c>
      <c r="GJ34" s="10">
        <v>57.348799999999997</v>
      </c>
      <c r="GK34" s="10">
        <v>44.154400000000003</v>
      </c>
      <c r="GL34" s="10">
        <v>37.045299999999997</v>
      </c>
      <c r="GM34" s="10">
        <v>120.4397</v>
      </c>
      <c r="GN34" s="10">
        <v>10.133100000000001</v>
      </c>
      <c r="GO34" s="10">
        <v>2.1110000000000002</v>
      </c>
      <c r="GP34" s="10">
        <v>87.917199999999994</v>
      </c>
      <c r="GQ34" s="11"/>
      <c r="GR34" s="10">
        <v>0.97267000000000003</v>
      </c>
      <c r="GS34" s="10">
        <v>7.6943999999999999E-2</v>
      </c>
      <c r="GT34" s="10">
        <v>16.982500000000002</v>
      </c>
      <c r="GU34" s="10">
        <v>13.1271</v>
      </c>
      <c r="GV34" s="10">
        <v>151.5085</v>
      </c>
      <c r="GW34" s="10">
        <v>41.162100000000002</v>
      </c>
      <c r="GX34" s="10">
        <v>2.9312000000000001E-2</v>
      </c>
      <c r="GY34" s="10">
        <v>7.3280000000000003E-3</v>
      </c>
      <c r="GZ34" s="10">
        <v>0.76171</v>
      </c>
      <c r="HA34" s="10">
        <v>705.83</v>
      </c>
      <c r="HB34" s="10">
        <v>51.702599999999997</v>
      </c>
      <c r="HC34" s="10">
        <v>600.47950000000003</v>
      </c>
      <c r="HD34" s="10">
        <v>5128.3005999999996</v>
      </c>
      <c r="HE34" s="10">
        <v>3.9670999999999998</v>
      </c>
      <c r="HF34" s="10">
        <v>109.9389</v>
      </c>
      <c r="HG34" s="10">
        <v>6.5951999999999997E-2</v>
      </c>
      <c r="HH34" s="10">
        <v>121.822</v>
      </c>
      <c r="HI34" s="10">
        <v>21.1999</v>
      </c>
      <c r="HJ34" s="11"/>
      <c r="HK34" s="11"/>
      <c r="HL34" s="10">
        <v>9.5213999999999999</v>
      </c>
      <c r="HM34" s="10">
        <v>2.4058000000000002</v>
      </c>
      <c r="HN34" s="10">
        <v>15.5693</v>
      </c>
      <c r="HO34" s="10">
        <f t="shared" si="0"/>
        <v>22134.437249999999</v>
      </c>
      <c r="HP34" s="10">
        <f t="shared" si="1"/>
        <v>22.134437249999998</v>
      </c>
      <c r="HQ34" s="10">
        <f t="shared" si="2"/>
        <v>6.0361159667302973</v>
      </c>
      <c r="HR34" s="11"/>
      <c r="HS34" s="11"/>
      <c r="HT34" s="11"/>
      <c r="HU34" s="11"/>
      <c r="HV34" s="11"/>
      <c r="HW34" s="11"/>
    </row>
    <row r="35" spans="1:231" ht="19.95" customHeight="1">
      <c r="A35" s="8">
        <v>1991</v>
      </c>
      <c r="B35" s="9">
        <v>2.4274</v>
      </c>
      <c r="C35" s="10">
        <v>4.2282999999999999</v>
      </c>
      <c r="D35" s="10">
        <v>78.805400000000006</v>
      </c>
      <c r="E35" s="10">
        <v>0.40670000000000001</v>
      </c>
      <c r="F35" s="10">
        <v>5.0629</v>
      </c>
      <c r="G35" s="10">
        <v>5.1296000000000001E-2</v>
      </c>
      <c r="H35" s="10">
        <v>0.21251</v>
      </c>
      <c r="I35" s="10">
        <v>117.5057</v>
      </c>
      <c r="J35" s="10">
        <v>18.920000000000002</v>
      </c>
      <c r="K35" s="10">
        <v>0.53127999999999997</v>
      </c>
      <c r="L35" s="10">
        <v>279.87270000000001</v>
      </c>
      <c r="M35" s="10">
        <v>65.725499999999997</v>
      </c>
      <c r="N35" s="10">
        <v>51.165700000000001</v>
      </c>
      <c r="O35" s="10">
        <v>1.843</v>
      </c>
      <c r="P35" s="10">
        <v>11.8553</v>
      </c>
      <c r="Q35" s="10">
        <v>14.741099999999999</v>
      </c>
      <c r="R35" s="10">
        <v>1.2020999999999999</v>
      </c>
      <c r="S35" s="10">
        <v>96.647099999999995</v>
      </c>
      <c r="T35" s="10">
        <v>123.38209999999999</v>
      </c>
      <c r="U35" s="10">
        <v>0.40670000000000001</v>
      </c>
      <c r="V35" s="10">
        <v>0.79213</v>
      </c>
      <c r="W35" s="10">
        <v>0.53861000000000003</v>
      </c>
      <c r="X35" s="10">
        <v>0.17612</v>
      </c>
      <c r="Y35" s="10">
        <v>5.9740000000000002</v>
      </c>
      <c r="Z35" s="10">
        <v>0.19461000000000001</v>
      </c>
      <c r="AA35" s="10">
        <v>13.735099999999999</v>
      </c>
      <c r="AB35" s="10">
        <v>2.6343999999999999</v>
      </c>
      <c r="AC35" s="10">
        <v>217.2277</v>
      </c>
      <c r="AD35" s="10">
        <v>7.3279999999999998E-2</v>
      </c>
      <c r="AE35" s="10">
        <v>5.3055000000000003</v>
      </c>
      <c r="AF35" s="10">
        <v>61.232599999999998</v>
      </c>
      <c r="AG35" s="10">
        <v>0.62653999999999999</v>
      </c>
      <c r="AH35" s="10">
        <v>0.23816000000000001</v>
      </c>
      <c r="AI35" s="10">
        <v>1.3044</v>
      </c>
      <c r="AJ35" s="10">
        <v>5.6431000000000002E-2</v>
      </c>
      <c r="AK35" s="10">
        <v>452.49470000000002</v>
      </c>
      <c r="AL35" s="10">
        <v>9.8928000000000002E-2</v>
      </c>
      <c r="AM35" s="11"/>
      <c r="AN35" s="10">
        <v>0.20518</v>
      </c>
      <c r="AO35" s="10">
        <v>0.38472000000000001</v>
      </c>
      <c r="AP35" s="10">
        <v>31.136600000000001</v>
      </c>
      <c r="AQ35" s="10">
        <v>2538.0300000000002</v>
      </c>
      <c r="AR35" s="10">
        <v>56.6541</v>
      </c>
      <c r="AS35" s="10">
        <v>6.5951999999999997E-2</v>
      </c>
      <c r="AT35" s="10">
        <v>1.0828</v>
      </c>
      <c r="AU35" s="10">
        <v>3.6639999999999999E-2</v>
      </c>
      <c r="AV35" s="10">
        <v>3.2873000000000001</v>
      </c>
      <c r="AW35" s="10">
        <v>4.3089000000000004</v>
      </c>
      <c r="AX35" s="10">
        <v>17.182300000000001</v>
      </c>
      <c r="AY35" s="10">
        <v>28.899000000000001</v>
      </c>
      <c r="AZ35" s="10">
        <v>3.6976</v>
      </c>
      <c r="BA35" s="10">
        <v>5.1466000000000003</v>
      </c>
      <c r="BB35" s="10">
        <v>148.89410000000001</v>
      </c>
      <c r="BC35" s="10">
        <v>3.1326000000000001</v>
      </c>
      <c r="BD35" s="10">
        <v>64.169399999999996</v>
      </c>
      <c r="BE35" s="10">
        <v>0.33709</v>
      </c>
      <c r="BF35" s="10">
        <v>5.8624000000000002E-2</v>
      </c>
      <c r="BG35" s="10">
        <v>9.9526000000000003</v>
      </c>
      <c r="BH35" s="10">
        <v>16.157800000000002</v>
      </c>
      <c r="BI35" s="10">
        <v>77.294799999999995</v>
      </c>
      <c r="BJ35" s="10">
        <v>3.1532</v>
      </c>
      <c r="BK35" s="10">
        <v>6.5951999999999997E-2</v>
      </c>
      <c r="BL35" s="11"/>
      <c r="BM35" s="10">
        <v>33.901800000000001</v>
      </c>
      <c r="BN35" s="10">
        <v>2.9571000000000001</v>
      </c>
      <c r="BO35" s="10">
        <v>0.65586</v>
      </c>
      <c r="BP35" s="11"/>
      <c r="BQ35" s="10">
        <v>0.66312000000000004</v>
      </c>
      <c r="BR35" s="10">
        <v>55.230400000000003</v>
      </c>
      <c r="BS35" s="10">
        <v>426.5009</v>
      </c>
      <c r="BT35" s="11"/>
      <c r="BU35" s="10">
        <v>0.43602000000000002</v>
      </c>
      <c r="BV35" s="10">
        <v>4.5220000000000002</v>
      </c>
      <c r="BW35" s="10">
        <v>0.19786000000000001</v>
      </c>
      <c r="BX35" s="10">
        <v>21.471</v>
      </c>
      <c r="BY35" s="10">
        <v>1014.1997</v>
      </c>
      <c r="BZ35" s="10">
        <v>4.2095000000000002</v>
      </c>
      <c r="CA35" s="11"/>
      <c r="CB35" s="10">
        <v>83.4011</v>
      </c>
      <c r="CC35" s="10">
        <v>0.34808</v>
      </c>
      <c r="CD35" s="10">
        <v>0.10992</v>
      </c>
      <c r="CE35" s="11"/>
      <c r="CF35" s="10">
        <v>4.9520999999999997</v>
      </c>
      <c r="CG35" s="10">
        <v>1.0259</v>
      </c>
      <c r="CH35" s="10">
        <v>0.17587</v>
      </c>
      <c r="CI35" s="10">
        <v>1.1065</v>
      </c>
      <c r="CJ35" s="10">
        <v>0.97613000000000005</v>
      </c>
      <c r="CK35" s="10">
        <v>2.4449999999999998</v>
      </c>
      <c r="CL35" s="10">
        <v>28.462700000000002</v>
      </c>
      <c r="CM35" s="10">
        <v>69.784499999999994</v>
      </c>
      <c r="CN35" s="10">
        <v>2.1284000000000001</v>
      </c>
      <c r="CO35" s="10">
        <v>616.10249999999996</v>
      </c>
      <c r="CP35" s="10">
        <v>180.62209999999999</v>
      </c>
      <c r="CQ35" s="10">
        <v>225.95419999999999</v>
      </c>
      <c r="CR35" s="10">
        <v>45.185299999999998</v>
      </c>
      <c r="CS35" s="10">
        <v>33.673999999999999</v>
      </c>
      <c r="CT35" s="10">
        <v>36.148600000000002</v>
      </c>
      <c r="CU35" s="10">
        <v>437.53859999999997</v>
      </c>
      <c r="CV35" s="10">
        <v>7.7506000000000004</v>
      </c>
      <c r="CW35" s="10">
        <v>1170.0657000000001</v>
      </c>
      <c r="CX35" s="10">
        <v>9.9030000000000005</v>
      </c>
      <c r="CY35" s="10">
        <v>271.74099999999999</v>
      </c>
      <c r="CZ35" s="10">
        <v>4.7103999999999999</v>
      </c>
      <c r="DA35" s="10">
        <v>2.1984E-2</v>
      </c>
      <c r="DB35" s="11"/>
      <c r="DC35" s="10">
        <v>14.9154</v>
      </c>
      <c r="DD35" s="10">
        <v>18.494499999999999</v>
      </c>
      <c r="DE35" s="10">
        <v>0.54593999999999998</v>
      </c>
      <c r="DF35" s="10">
        <v>17.783100000000001</v>
      </c>
      <c r="DG35" s="10">
        <v>8.1149000000000004</v>
      </c>
      <c r="DH35" s="10">
        <v>1.5279</v>
      </c>
      <c r="DI35" s="10">
        <v>0.37006</v>
      </c>
      <c r="DJ35" s="10">
        <v>42.619199999999999</v>
      </c>
      <c r="DK35" s="10">
        <v>0.20633000000000001</v>
      </c>
      <c r="DL35" s="10">
        <v>37.851599999999998</v>
      </c>
      <c r="DM35" s="10">
        <v>12.4658</v>
      </c>
      <c r="DN35" s="10">
        <v>1.0919000000000001</v>
      </c>
      <c r="DO35" s="10">
        <v>1.0097</v>
      </c>
      <c r="DP35" s="10">
        <v>0.78471999999999997</v>
      </c>
      <c r="DQ35" s="10">
        <v>66.730400000000003</v>
      </c>
      <c r="DR35" s="10">
        <v>0.15389</v>
      </c>
      <c r="DS35" s="10">
        <v>0.43407000000000001</v>
      </c>
      <c r="DT35" s="10">
        <v>2.2553999999999998</v>
      </c>
      <c r="DU35" s="11"/>
      <c r="DV35" s="11"/>
      <c r="DW35" s="10">
        <v>0.86836999999999998</v>
      </c>
      <c r="DX35" s="10">
        <v>1.5206</v>
      </c>
      <c r="DY35" s="10">
        <v>330.13319999999999</v>
      </c>
      <c r="DZ35" s="11"/>
      <c r="EA35" s="10">
        <v>22.372699999999998</v>
      </c>
      <c r="EB35" s="10">
        <v>12.121</v>
      </c>
      <c r="EC35" s="10">
        <v>1.3551</v>
      </c>
      <c r="ED35" s="10">
        <v>2.9312000000000001E-2</v>
      </c>
      <c r="EE35" s="10">
        <v>24.021899999999999</v>
      </c>
      <c r="EF35" s="10">
        <v>1.0150999999999999</v>
      </c>
      <c r="EG35" s="10">
        <v>4.1367000000000003</v>
      </c>
      <c r="EH35" s="10">
        <v>1.0551999999999999</v>
      </c>
      <c r="EI35" s="10">
        <v>0.12458</v>
      </c>
      <c r="EJ35" s="10">
        <v>1.0725</v>
      </c>
      <c r="EK35" s="10">
        <v>170.79640000000001</v>
      </c>
      <c r="EL35" s="10">
        <v>1.758</v>
      </c>
      <c r="EM35" s="10">
        <v>26.110399999999998</v>
      </c>
      <c r="EN35" s="10">
        <v>1.9879</v>
      </c>
      <c r="EO35" s="10">
        <v>0.56962999999999997</v>
      </c>
      <c r="EP35" s="10">
        <v>41.929099999999998</v>
      </c>
      <c r="EQ35" s="10">
        <v>7.3280000000000003E-3</v>
      </c>
      <c r="ER35" s="10">
        <v>117.2266</v>
      </c>
      <c r="ES35" s="10">
        <v>10.0358</v>
      </c>
      <c r="ET35" s="10">
        <v>33.816499999999998</v>
      </c>
      <c r="EU35" s="10">
        <v>0.88302000000000003</v>
      </c>
      <c r="EV35" s="10">
        <v>11.5937</v>
      </c>
      <c r="EW35" s="10">
        <v>67.477900000000005</v>
      </c>
      <c r="EX35" s="11"/>
      <c r="EY35" s="10">
        <v>3.1053000000000002</v>
      </c>
      <c r="EZ35" s="10">
        <v>2.1690999999999998</v>
      </c>
      <c r="FA35" s="10">
        <v>2.1034000000000002</v>
      </c>
      <c r="FB35" s="10">
        <v>20.7242</v>
      </c>
      <c r="FC35" s="10">
        <v>43.471200000000003</v>
      </c>
      <c r="FD35" s="10">
        <v>373.79329999999999</v>
      </c>
      <c r="FE35" s="10">
        <v>46.960299999999997</v>
      </c>
      <c r="FF35" s="10">
        <v>17.645299999999999</v>
      </c>
      <c r="FG35" s="10">
        <v>0.40642</v>
      </c>
      <c r="FH35" s="11"/>
      <c r="FI35" s="10">
        <v>139.37029999999999</v>
      </c>
      <c r="FJ35" s="10">
        <v>2395.9780000000001</v>
      </c>
      <c r="FK35" s="10">
        <v>0.47178999999999999</v>
      </c>
      <c r="FL35" s="10">
        <v>7.3280000000000003E-3</v>
      </c>
      <c r="FM35" s="10">
        <v>0.10625999999999999</v>
      </c>
      <c r="FN35" s="10">
        <v>0.16854</v>
      </c>
      <c r="FO35" s="10">
        <v>0.10259</v>
      </c>
      <c r="FP35" s="10">
        <v>8.4272E-2</v>
      </c>
      <c r="FQ35" s="10">
        <v>0.10625999999999999</v>
      </c>
      <c r="FR35" s="10">
        <v>4.7632000000000001E-2</v>
      </c>
      <c r="FS35" s="10">
        <v>267.38619999999997</v>
      </c>
      <c r="FT35" s="10">
        <v>3.3780000000000001</v>
      </c>
      <c r="FU35" s="10">
        <v>39.983600000000003</v>
      </c>
      <c r="FV35" s="10">
        <v>0.17221</v>
      </c>
      <c r="FW35" s="10">
        <v>0.60089999999999999</v>
      </c>
      <c r="FX35" s="10">
        <v>45.049399999999999</v>
      </c>
      <c r="FY35" s="10">
        <v>53.437899999999999</v>
      </c>
      <c r="FZ35" s="10">
        <v>14.001200000000001</v>
      </c>
      <c r="GA35" s="10">
        <v>0.15755</v>
      </c>
      <c r="GB35" s="10">
        <v>0.70650000000000002</v>
      </c>
      <c r="GC35" s="10">
        <v>326.06889999999999</v>
      </c>
      <c r="GD35" s="10">
        <v>262.03829999999999</v>
      </c>
      <c r="GE35" s="10">
        <v>240.953</v>
      </c>
      <c r="GF35" s="10">
        <v>4.1369999999999996</v>
      </c>
      <c r="GG35" s="10">
        <v>4.4664999999999999</v>
      </c>
      <c r="GH35" s="10">
        <v>2.0238</v>
      </c>
      <c r="GI35" s="10">
        <v>0.87570000000000003</v>
      </c>
      <c r="GJ35" s="10">
        <v>57.7072</v>
      </c>
      <c r="GK35" s="10">
        <v>46.133800000000001</v>
      </c>
      <c r="GL35" s="10">
        <v>42.200699999999998</v>
      </c>
      <c r="GM35" s="10">
        <v>130.61600000000001</v>
      </c>
      <c r="GN35" s="10">
        <v>9.1224000000000007</v>
      </c>
      <c r="GO35" s="10">
        <v>2.2536</v>
      </c>
      <c r="GP35" s="10">
        <v>96.746099999999998</v>
      </c>
      <c r="GQ35" s="11"/>
      <c r="GR35" s="10">
        <v>1.0485</v>
      </c>
      <c r="GS35" s="10">
        <v>9.5264000000000001E-2</v>
      </c>
      <c r="GT35" s="10">
        <v>16.968299999999999</v>
      </c>
      <c r="GU35" s="10">
        <v>15.3629</v>
      </c>
      <c r="GV35" s="10">
        <v>157.982</v>
      </c>
      <c r="GW35" s="10">
        <v>35.616700000000002</v>
      </c>
      <c r="GX35" s="10">
        <v>2.9312000000000001E-2</v>
      </c>
      <c r="GY35" s="10">
        <v>7.3280000000000003E-3</v>
      </c>
      <c r="GZ35" s="10">
        <v>0.78029999999999999</v>
      </c>
      <c r="HA35" s="10">
        <v>632.53660000000002</v>
      </c>
      <c r="HB35" s="10">
        <v>56.6723</v>
      </c>
      <c r="HC35" s="10">
        <v>608.57920000000001</v>
      </c>
      <c r="HD35" s="10">
        <v>5078.8896000000004</v>
      </c>
      <c r="HE35" s="10">
        <v>4.5274999999999999</v>
      </c>
      <c r="HF35" s="10">
        <v>112.7555</v>
      </c>
      <c r="HG35" s="10">
        <v>6.5951999999999997E-2</v>
      </c>
      <c r="HH35" s="10">
        <v>115.05249999999999</v>
      </c>
      <c r="HI35" s="10">
        <v>21.262899999999998</v>
      </c>
      <c r="HJ35" s="11"/>
      <c r="HK35" s="11"/>
      <c r="HL35" s="10">
        <v>9.1286000000000005</v>
      </c>
      <c r="HM35" s="10">
        <v>2.3820999999999999</v>
      </c>
      <c r="HN35" s="10">
        <v>15.8653</v>
      </c>
      <c r="HO35" s="10">
        <f t="shared" si="0"/>
        <v>22144.329255000004</v>
      </c>
      <c r="HP35" s="10">
        <f t="shared" si="1"/>
        <v>22.144329255000006</v>
      </c>
      <c r="HQ35" s="10">
        <f t="shared" si="2"/>
        <v>6.0388135410417254</v>
      </c>
      <c r="HR35" s="11"/>
      <c r="HS35" s="11"/>
      <c r="HT35" s="11"/>
      <c r="HU35" s="11"/>
      <c r="HV35" s="11"/>
      <c r="HW35" s="11"/>
    </row>
    <row r="36" spans="1:231" ht="19.95" customHeight="1">
      <c r="A36" s="8">
        <v>1992</v>
      </c>
      <c r="B36" s="9">
        <v>1.3794999999999999</v>
      </c>
      <c r="C36" s="10">
        <v>2.4952000000000001</v>
      </c>
      <c r="D36" s="10">
        <v>79.881799999999998</v>
      </c>
      <c r="E36" s="10">
        <v>0.40670000000000001</v>
      </c>
      <c r="F36" s="10">
        <v>5.165</v>
      </c>
      <c r="G36" s="10">
        <v>5.4960000000000002E-2</v>
      </c>
      <c r="H36" s="10">
        <v>0.20885000000000001</v>
      </c>
      <c r="I36" s="10">
        <v>121.2306</v>
      </c>
      <c r="J36" s="10">
        <v>5.8598999999999997</v>
      </c>
      <c r="K36" s="10">
        <v>0.53861000000000003</v>
      </c>
      <c r="L36" s="10">
        <v>284.91239999999999</v>
      </c>
      <c r="M36" s="10">
        <v>60.204099999999997</v>
      </c>
      <c r="N36" s="10">
        <v>56.183100000000003</v>
      </c>
      <c r="O36" s="10">
        <v>1.8503000000000001</v>
      </c>
      <c r="P36" s="10">
        <v>10.873799999999999</v>
      </c>
      <c r="Q36" s="10">
        <v>15.3796</v>
      </c>
      <c r="R36" s="10">
        <v>0.97497</v>
      </c>
      <c r="S36" s="10">
        <v>88.662000000000006</v>
      </c>
      <c r="T36" s="10">
        <v>122.5078</v>
      </c>
      <c r="U36" s="10">
        <v>0.35541</v>
      </c>
      <c r="V36" s="10">
        <v>0.86494000000000004</v>
      </c>
      <c r="W36" s="10">
        <v>0.46166000000000001</v>
      </c>
      <c r="X36" s="10">
        <v>0.20538000000000001</v>
      </c>
      <c r="Y36" s="10">
        <v>6.6219999999999999</v>
      </c>
      <c r="Z36" s="10">
        <v>0.16033</v>
      </c>
      <c r="AA36" s="10">
        <v>15.0276</v>
      </c>
      <c r="AB36" s="10">
        <v>2.7772999999999999</v>
      </c>
      <c r="AC36" s="10">
        <v>218.38329999999999</v>
      </c>
      <c r="AD36" s="10">
        <v>8.4272E-2</v>
      </c>
      <c r="AE36" s="10">
        <v>5.2102000000000004</v>
      </c>
      <c r="AF36" s="10">
        <v>57.010399999999997</v>
      </c>
      <c r="AG36" s="10">
        <v>0.63021000000000005</v>
      </c>
      <c r="AH36" s="10">
        <v>0.21618000000000001</v>
      </c>
      <c r="AI36" s="10">
        <v>1.3484</v>
      </c>
      <c r="AJ36" s="10">
        <v>2.726</v>
      </c>
      <c r="AK36" s="10">
        <v>467.03739999999999</v>
      </c>
      <c r="AL36" s="10">
        <v>0.10625999999999999</v>
      </c>
      <c r="AM36" s="11"/>
      <c r="AN36" s="10">
        <v>0.21618000000000001</v>
      </c>
      <c r="AO36" s="10">
        <v>0.40670000000000001</v>
      </c>
      <c r="AP36" s="10">
        <v>32.202300000000001</v>
      </c>
      <c r="AQ36" s="10">
        <v>2653.1921000000002</v>
      </c>
      <c r="AR36" s="10">
        <v>61.494700000000002</v>
      </c>
      <c r="AS36" s="10">
        <v>6.5951999999999997E-2</v>
      </c>
      <c r="AT36" s="10">
        <v>1.2902</v>
      </c>
      <c r="AU36" s="10">
        <v>3.6639999999999999E-2</v>
      </c>
      <c r="AV36" s="10">
        <v>3.7412000000000001</v>
      </c>
      <c r="AW36" s="10">
        <v>3.8435000000000001</v>
      </c>
      <c r="AX36" s="10">
        <v>16.5061</v>
      </c>
      <c r="AY36" s="10">
        <v>21.020299999999999</v>
      </c>
      <c r="AZ36" s="10">
        <v>3.0463</v>
      </c>
      <c r="BA36" s="10">
        <v>5.5228999999999999</v>
      </c>
      <c r="BB36" s="10">
        <v>144.619</v>
      </c>
      <c r="BC36" s="10">
        <v>2.8092000000000001</v>
      </c>
      <c r="BD36" s="10">
        <v>58.3613</v>
      </c>
      <c r="BE36" s="10">
        <v>0.33709</v>
      </c>
      <c r="BF36" s="10">
        <v>5.8624000000000002E-2</v>
      </c>
      <c r="BG36" s="10">
        <v>10.8223</v>
      </c>
      <c r="BH36" s="10">
        <v>21.959599999999998</v>
      </c>
      <c r="BI36" s="10">
        <v>79.939499999999995</v>
      </c>
      <c r="BJ36" s="10">
        <v>3.3168000000000002</v>
      </c>
      <c r="BK36" s="10">
        <v>6.5951999999999997E-2</v>
      </c>
      <c r="BL36" s="11"/>
      <c r="BM36" s="10">
        <v>24.3705</v>
      </c>
      <c r="BN36" s="10">
        <v>2.9373</v>
      </c>
      <c r="BO36" s="10">
        <v>0.64853000000000005</v>
      </c>
      <c r="BP36" s="11"/>
      <c r="BQ36" s="10">
        <v>0.74</v>
      </c>
      <c r="BR36" s="10">
        <v>54.285499999999999</v>
      </c>
      <c r="BS36" s="10">
        <v>415.70890000000003</v>
      </c>
      <c r="BT36" s="11"/>
      <c r="BU36" s="10">
        <v>0.41770000000000002</v>
      </c>
      <c r="BV36" s="10">
        <v>4.9176000000000002</v>
      </c>
      <c r="BW36" s="10">
        <v>0.19786000000000001</v>
      </c>
      <c r="BX36" s="10">
        <v>15.276999999999999</v>
      </c>
      <c r="BY36" s="10">
        <v>965.88980000000004</v>
      </c>
      <c r="BZ36" s="10">
        <v>3.6608999999999998</v>
      </c>
      <c r="CA36" s="11"/>
      <c r="CB36" s="10">
        <v>84.982699999999994</v>
      </c>
      <c r="CC36" s="10">
        <v>0.3261</v>
      </c>
      <c r="CD36" s="10">
        <v>0.11724999999999999</v>
      </c>
      <c r="CE36" s="11"/>
      <c r="CF36" s="10">
        <v>5.9179000000000004</v>
      </c>
      <c r="CG36" s="10">
        <v>1.0589</v>
      </c>
      <c r="CH36" s="10">
        <v>0.17954000000000001</v>
      </c>
      <c r="CI36" s="10">
        <v>1.0406</v>
      </c>
      <c r="CJ36" s="10">
        <v>0.88788</v>
      </c>
      <c r="CK36" s="10">
        <v>2.6930999999999998</v>
      </c>
      <c r="CL36" s="10">
        <v>32.917099999999998</v>
      </c>
      <c r="CM36" s="10">
        <v>62.415900000000001</v>
      </c>
      <c r="CN36" s="10">
        <v>2.2743000000000002</v>
      </c>
      <c r="CO36" s="10">
        <v>656.21900000000005</v>
      </c>
      <c r="CP36" s="10">
        <v>203.57740000000001</v>
      </c>
      <c r="CQ36" s="10">
        <v>226.95699999999999</v>
      </c>
      <c r="CR36" s="10">
        <v>58.889299999999999</v>
      </c>
      <c r="CS36" s="10">
        <v>33.494900000000001</v>
      </c>
      <c r="CT36" s="10">
        <v>42.082999999999998</v>
      </c>
      <c r="CU36" s="10">
        <v>437.82979999999998</v>
      </c>
      <c r="CV36" s="10">
        <v>7.7107999999999999</v>
      </c>
      <c r="CW36" s="10">
        <v>1179.7401</v>
      </c>
      <c r="CX36" s="10">
        <v>11.9831</v>
      </c>
      <c r="CY36" s="10">
        <v>246.7414</v>
      </c>
      <c r="CZ36" s="10">
        <v>5.4020999999999999</v>
      </c>
      <c r="DA36" s="10">
        <v>2.5648000000000001E-2</v>
      </c>
      <c r="DB36" s="11"/>
      <c r="DC36" s="10">
        <v>29.646899999999999</v>
      </c>
      <c r="DD36" s="10">
        <v>11.082100000000001</v>
      </c>
      <c r="DE36" s="10">
        <v>0.59289000000000003</v>
      </c>
      <c r="DF36" s="10">
        <v>14.079800000000001</v>
      </c>
      <c r="DG36" s="10">
        <v>9.7270000000000003</v>
      </c>
      <c r="DH36" s="10">
        <v>1.5865</v>
      </c>
      <c r="DI36" s="10">
        <v>0.38773000000000002</v>
      </c>
      <c r="DJ36" s="10">
        <v>37.024999999999999</v>
      </c>
      <c r="DK36" s="10">
        <v>0.20695</v>
      </c>
      <c r="DL36" s="10">
        <v>21.200600000000001</v>
      </c>
      <c r="DM36" s="10">
        <v>12.232200000000001</v>
      </c>
      <c r="DN36" s="10">
        <v>1.0809</v>
      </c>
      <c r="DO36" s="10">
        <v>0.98038000000000003</v>
      </c>
      <c r="DP36" s="10">
        <v>0.78527000000000002</v>
      </c>
      <c r="DQ36" s="10">
        <v>72.960999999999999</v>
      </c>
      <c r="DR36" s="10">
        <v>0.23083000000000001</v>
      </c>
      <c r="DS36" s="10">
        <v>0.44871</v>
      </c>
      <c r="DT36" s="10">
        <v>2.3149000000000002</v>
      </c>
      <c r="DU36" s="10">
        <v>7.6943999999999999E-2</v>
      </c>
      <c r="DV36" s="11"/>
      <c r="DW36" s="10">
        <v>0.90500999999999998</v>
      </c>
      <c r="DX36" s="10">
        <v>1.7074</v>
      </c>
      <c r="DY36" s="10">
        <v>332.7801</v>
      </c>
      <c r="DZ36" s="10">
        <v>0.10259</v>
      </c>
      <c r="EA36" s="10">
        <v>20.978100000000001</v>
      </c>
      <c r="EB36" s="10">
        <v>10.9939</v>
      </c>
      <c r="EC36" s="10">
        <v>1.4833000000000001</v>
      </c>
      <c r="ED36" s="10">
        <v>2.9312000000000001E-2</v>
      </c>
      <c r="EE36" s="10">
        <v>25.117999999999999</v>
      </c>
      <c r="EF36" s="10">
        <v>1.0013000000000001</v>
      </c>
      <c r="EG36" s="10">
        <v>4.8415999999999997</v>
      </c>
      <c r="EH36" s="10">
        <v>1.1505000000000001</v>
      </c>
      <c r="EI36" s="10">
        <v>0.12091</v>
      </c>
      <c r="EJ36" s="10">
        <v>1.2902</v>
      </c>
      <c r="EK36" s="10">
        <v>170.6302</v>
      </c>
      <c r="EL36" s="10">
        <v>1.5747</v>
      </c>
      <c r="EM36" s="10">
        <v>28.1051</v>
      </c>
      <c r="EN36" s="10">
        <v>2.3736000000000002</v>
      </c>
      <c r="EO36" s="10">
        <v>0.52866000000000002</v>
      </c>
      <c r="EP36" s="10">
        <v>46.265099999999997</v>
      </c>
      <c r="EQ36" s="10">
        <v>7.3280000000000003E-3</v>
      </c>
      <c r="ER36" s="10">
        <v>102.96259999999999</v>
      </c>
      <c r="ES36" s="10">
        <v>10.9847</v>
      </c>
      <c r="ET36" s="10">
        <v>34.734699999999997</v>
      </c>
      <c r="EU36" s="10">
        <v>0.91600000000000004</v>
      </c>
      <c r="EV36" s="10">
        <v>11.893000000000001</v>
      </c>
      <c r="EW36" s="10">
        <v>72.015000000000001</v>
      </c>
      <c r="EX36" s="10">
        <v>0.19786000000000001</v>
      </c>
      <c r="EY36" s="10">
        <v>4.1124000000000001</v>
      </c>
      <c r="EZ36" s="10">
        <v>2.1911</v>
      </c>
      <c r="FA36" s="10">
        <v>2.5798999999999999</v>
      </c>
      <c r="FB36" s="10">
        <v>20.9559</v>
      </c>
      <c r="FC36" s="10">
        <v>48.293799999999997</v>
      </c>
      <c r="FD36" s="10">
        <v>364.67790000000002</v>
      </c>
      <c r="FE36" s="10">
        <v>50.889200000000002</v>
      </c>
      <c r="FF36" s="10">
        <v>26.996600000000001</v>
      </c>
      <c r="FG36" s="10">
        <v>0.3634</v>
      </c>
      <c r="FH36" s="11"/>
      <c r="FI36" s="10">
        <v>131.07230000000001</v>
      </c>
      <c r="FJ36" s="10">
        <v>1957.6588999999999</v>
      </c>
      <c r="FK36" s="10">
        <v>0.47894999999999999</v>
      </c>
      <c r="FL36" s="10">
        <v>7.3280000000000003E-3</v>
      </c>
      <c r="FM36" s="10">
        <v>0.10992</v>
      </c>
      <c r="FN36" s="10">
        <v>0.15021999999999999</v>
      </c>
      <c r="FO36" s="10">
        <v>9.5264000000000001E-2</v>
      </c>
      <c r="FP36" s="10">
        <v>8.4272E-2</v>
      </c>
      <c r="FQ36" s="10">
        <v>0.10992</v>
      </c>
      <c r="FR36" s="10">
        <v>4.7632000000000001E-2</v>
      </c>
      <c r="FS36" s="10">
        <v>285.07409999999999</v>
      </c>
      <c r="FT36" s="10">
        <v>3.4234</v>
      </c>
      <c r="FU36" s="10">
        <v>43.6843</v>
      </c>
      <c r="FV36" s="10">
        <v>0.17221</v>
      </c>
      <c r="FW36" s="10">
        <v>0.45067000000000002</v>
      </c>
      <c r="FX36" s="10">
        <v>48.212699999999998</v>
      </c>
      <c r="FY36" s="10">
        <v>49.0291</v>
      </c>
      <c r="FZ36" s="10">
        <v>14.0067</v>
      </c>
      <c r="GA36" s="10">
        <v>0.16122</v>
      </c>
      <c r="GB36" s="10">
        <v>0.67954000000000003</v>
      </c>
      <c r="GC36" s="10">
        <v>301.3682</v>
      </c>
      <c r="GD36" s="10">
        <v>282.1943</v>
      </c>
      <c r="GE36" s="10">
        <v>249.81319999999999</v>
      </c>
      <c r="GF36" s="10">
        <v>5.1059999999999999</v>
      </c>
      <c r="GG36" s="10">
        <v>3.9893000000000001</v>
      </c>
      <c r="GH36" s="10">
        <v>2.0310999999999999</v>
      </c>
      <c r="GI36" s="10">
        <v>0.83538999999999997</v>
      </c>
      <c r="GJ36" s="10">
        <v>57.451500000000003</v>
      </c>
      <c r="GK36" s="10">
        <v>46.009700000000002</v>
      </c>
      <c r="GL36" s="10">
        <v>42.561100000000003</v>
      </c>
      <c r="GM36" s="10">
        <v>139.13579999999999</v>
      </c>
      <c r="GN36" s="10">
        <v>7.2946</v>
      </c>
      <c r="GO36" s="10">
        <v>2.1762999999999999</v>
      </c>
      <c r="GP36" s="10">
        <v>106.0945</v>
      </c>
      <c r="GQ36" s="11"/>
      <c r="GR36" s="10">
        <v>1.0306999999999999</v>
      </c>
      <c r="GS36" s="10">
        <v>6.9615999999999997E-2</v>
      </c>
      <c r="GT36" s="10">
        <v>19.104199999999999</v>
      </c>
      <c r="GU36" s="10">
        <v>14.8918</v>
      </c>
      <c r="GV36" s="10">
        <v>163.9222</v>
      </c>
      <c r="GW36" s="10">
        <v>31.9954</v>
      </c>
      <c r="GX36" s="10">
        <v>3.2975999999999998E-2</v>
      </c>
      <c r="GY36" s="10">
        <v>7.3280000000000003E-3</v>
      </c>
      <c r="GZ36" s="10">
        <v>0.79827000000000004</v>
      </c>
      <c r="HA36" s="10">
        <v>589.06029999999998</v>
      </c>
      <c r="HB36" s="10">
        <v>57.7577</v>
      </c>
      <c r="HC36" s="10">
        <v>593.09270000000004</v>
      </c>
      <c r="HD36" s="10">
        <v>5182.7066999999997</v>
      </c>
      <c r="HE36" s="10">
        <v>5.1429</v>
      </c>
      <c r="HF36" s="10">
        <v>110.9843</v>
      </c>
      <c r="HG36" s="10">
        <v>6.2288000000000003E-2</v>
      </c>
      <c r="HH36" s="10">
        <v>105.57810000000001</v>
      </c>
      <c r="HI36" s="10">
        <v>21.323699999999999</v>
      </c>
      <c r="HJ36" s="11"/>
      <c r="HK36" s="11"/>
      <c r="HL36" s="10">
        <v>9.8742000000000001</v>
      </c>
      <c r="HM36" s="10">
        <v>2.4241000000000001</v>
      </c>
      <c r="HN36" s="10">
        <v>16.917400000000001</v>
      </c>
      <c r="HO36" s="10">
        <f t="shared" ref="HO36:HO63" si="3">SUM(B36:HN36)</f>
        <v>21888.331365999999</v>
      </c>
      <c r="HP36" s="10">
        <f t="shared" ref="HP36:HP63" si="4">HO36/1000</f>
        <v>21.888331365999999</v>
      </c>
      <c r="HQ36" s="10">
        <f t="shared" ref="HQ36:HQ63" si="5">HP36/3.667</f>
        <v>5.9690022814289607</v>
      </c>
      <c r="HR36" s="11"/>
      <c r="HS36" s="11"/>
      <c r="HT36" s="11"/>
      <c r="HU36" s="11"/>
      <c r="HV36" s="11"/>
      <c r="HW36" s="11"/>
    </row>
    <row r="37" spans="1:231" ht="19.95" customHeight="1">
      <c r="A37" s="8">
        <v>1993</v>
      </c>
      <c r="B37" s="9">
        <v>1.3331</v>
      </c>
      <c r="C37" s="10">
        <v>2.3155999999999999</v>
      </c>
      <c r="D37" s="10">
        <v>81.942400000000006</v>
      </c>
      <c r="E37" s="10">
        <v>0.41037000000000001</v>
      </c>
      <c r="F37" s="10">
        <v>5.7484000000000002</v>
      </c>
      <c r="G37" s="10">
        <v>6.5951999999999997E-2</v>
      </c>
      <c r="H37" s="10">
        <v>0.21618000000000001</v>
      </c>
      <c r="I37" s="10">
        <v>117.7775</v>
      </c>
      <c r="J37" s="10">
        <v>2.5735999999999999</v>
      </c>
      <c r="K37" s="10">
        <v>0.64853000000000005</v>
      </c>
      <c r="L37" s="10">
        <v>289.23520000000002</v>
      </c>
      <c r="M37" s="10">
        <v>60.635399999999997</v>
      </c>
      <c r="N37" s="10">
        <v>48.4131</v>
      </c>
      <c r="O37" s="10">
        <v>1.7586999999999999</v>
      </c>
      <c r="P37" s="10">
        <v>14.6098</v>
      </c>
      <c r="Q37" s="10">
        <v>16.062100000000001</v>
      </c>
      <c r="R37" s="10">
        <v>1.0992999999999999</v>
      </c>
      <c r="S37" s="10">
        <v>76.38</v>
      </c>
      <c r="T37" s="10">
        <v>121.4442</v>
      </c>
      <c r="U37" s="10">
        <v>0.37739</v>
      </c>
      <c r="V37" s="10">
        <v>1.0867</v>
      </c>
      <c r="W37" s="10">
        <v>0.53861000000000003</v>
      </c>
      <c r="X37" s="10">
        <v>0.17302999999999999</v>
      </c>
      <c r="Y37" s="10">
        <v>7.7918000000000003</v>
      </c>
      <c r="Z37" s="10">
        <v>0.2475</v>
      </c>
      <c r="AA37" s="10">
        <v>12.5794</v>
      </c>
      <c r="AB37" s="10">
        <v>3.1949999999999998</v>
      </c>
      <c r="AC37" s="10">
        <v>228.33320000000001</v>
      </c>
      <c r="AD37" s="10">
        <v>8.7936E-2</v>
      </c>
      <c r="AE37" s="10">
        <v>4.9646999999999997</v>
      </c>
      <c r="AF37" s="10">
        <v>57.675600000000003</v>
      </c>
      <c r="AG37" s="10">
        <v>0.62653999999999999</v>
      </c>
      <c r="AH37" s="10">
        <v>0.22717000000000001</v>
      </c>
      <c r="AI37" s="10">
        <v>1.385</v>
      </c>
      <c r="AJ37" s="10">
        <v>2.8795000000000002</v>
      </c>
      <c r="AK37" s="10">
        <v>467.40640000000002</v>
      </c>
      <c r="AL37" s="10">
        <v>0.10992</v>
      </c>
      <c r="AM37" s="11"/>
      <c r="AN37" s="10">
        <v>0.2235</v>
      </c>
      <c r="AO37" s="10">
        <v>0.40304000000000001</v>
      </c>
      <c r="AP37" s="10">
        <v>34.259399999999999</v>
      </c>
      <c r="AQ37" s="10">
        <v>2835.7955000000002</v>
      </c>
      <c r="AR37" s="10">
        <v>63.337800000000001</v>
      </c>
      <c r="AS37" s="10">
        <v>6.9615999999999997E-2</v>
      </c>
      <c r="AT37" s="10">
        <v>1.1618999999999999</v>
      </c>
      <c r="AU37" s="10">
        <v>4.0304E-2</v>
      </c>
      <c r="AV37" s="10">
        <v>3.891</v>
      </c>
      <c r="AW37" s="10">
        <v>5.093</v>
      </c>
      <c r="AX37" s="10">
        <v>16.959800000000001</v>
      </c>
      <c r="AY37" s="10">
        <v>19.786999999999999</v>
      </c>
      <c r="AZ37" s="10">
        <v>4.7026000000000003</v>
      </c>
      <c r="BA37" s="10">
        <v>5.7670000000000003</v>
      </c>
      <c r="BB37" s="10">
        <v>138.63730000000001</v>
      </c>
      <c r="BC37" s="10">
        <v>2.6615000000000002</v>
      </c>
      <c r="BD37" s="10">
        <v>60.607799999999997</v>
      </c>
      <c r="BE37" s="10">
        <v>0.33709</v>
      </c>
      <c r="BF37" s="10">
        <v>6.2288000000000003E-2</v>
      </c>
      <c r="BG37" s="10">
        <v>11.667199999999999</v>
      </c>
      <c r="BH37" s="10">
        <v>24.087399999999999</v>
      </c>
      <c r="BI37" s="10">
        <v>92.277600000000007</v>
      </c>
      <c r="BJ37" s="10">
        <v>3.9752999999999998</v>
      </c>
      <c r="BK37" s="10">
        <v>6.9615999999999997E-2</v>
      </c>
      <c r="BL37" s="11"/>
      <c r="BM37" s="10">
        <v>18.910399999999999</v>
      </c>
      <c r="BN37" s="10">
        <v>2.9948000000000001</v>
      </c>
      <c r="BO37" s="10">
        <v>0.58257999999999999</v>
      </c>
      <c r="BP37" s="11"/>
      <c r="BQ37" s="10">
        <v>0.74363999999999997</v>
      </c>
      <c r="BR37" s="10">
        <v>56.352600000000002</v>
      </c>
      <c r="BS37" s="10">
        <v>394.97250000000003</v>
      </c>
      <c r="BT37" s="11"/>
      <c r="BU37" s="10">
        <v>0.42869000000000002</v>
      </c>
      <c r="BV37" s="10">
        <v>4.9748000000000001</v>
      </c>
      <c r="BW37" s="10">
        <v>0.20885000000000001</v>
      </c>
      <c r="BX37" s="10">
        <v>9.9162999999999997</v>
      </c>
      <c r="BY37" s="10">
        <v>956.23310000000004</v>
      </c>
      <c r="BZ37" s="10">
        <v>4.3106999999999998</v>
      </c>
      <c r="CA37" s="11"/>
      <c r="CB37" s="10">
        <v>84.296400000000006</v>
      </c>
      <c r="CC37" s="10">
        <v>0.32242999999999999</v>
      </c>
      <c r="CD37" s="10">
        <v>0.12091</v>
      </c>
      <c r="CE37" s="11"/>
      <c r="CF37" s="10">
        <v>5.5772000000000004</v>
      </c>
      <c r="CG37" s="10">
        <v>1.0882000000000001</v>
      </c>
      <c r="CH37" s="10">
        <v>0.1832</v>
      </c>
      <c r="CI37" s="10">
        <v>1.0442</v>
      </c>
      <c r="CJ37" s="10">
        <v>0.68545999999999996</v>
      </c>
      <c r="CK37" s="10">
        <v>2.8342999999999998</v>
      </c>
      <c r="CL37" s="10">
        <v>34.778199999999998</v>
      </c>
      <c r="CM37" s="10">
        <v>63.632800000000003</v>
      </c>
      <c r="CN37" s="10">
        <v>2.4321999999999999</v>
      </c>
      <c r="CO37" s="10">
        <v>678.11199999999997</v>
      </c>
      <c r="CP37" s="10">
        <v>219.76230000000001</v>
      </c>
      <c r="CQ37" s="10">
        <v>235.57660000000001</v>
      </c>
      <c r="CR37" s="10">
        <v>63.129800000000003</v>
      </c>
      <c r="CS37" s="10">
        <v>33.716200000000001</v>
      </c>
      <c r="CT37" s="10">
        <v>44.234200000000001</v>
      </c>
      <c r="CU37" s="10">
        <v>430.18</v>
      </c>
      <c r="CV37" s="10">
        <v>8.0002999999999993</v>
      </c>
      <c r="CW37" s="10">
        <v>1172.6473000000001</v>
      </c>
      <c r="CX37" s="10">
        <v>11.774100000000001</v>
      </c>
      <c r="CY37" s="10">
        <v>219.39</v>
      </c>
      <c r="CZ37" s="10">
        <v>6.2152000000000003</v>
      </c>
      <c r="DA37" s="10">
        <v>2.9312000000000001E-2</v>
      </c>
      <c r="DB37" s="11"/>
      <c r="DC37" s="10">
        <v>49.129399999999997</v>
      </c>
      <c r="DD37" s="10">
        <v>8.5015999999999998</v>
      </c>
      <c r="DE37" s="10">
        <v>0.60755000000000003</v>
      </c>
      <c r="DF37" s="10">
        <v>11.8186</v>
      </c>
      <c r="DG37" s="10">
        <v>10.355</v>
      </c>
      <c r="DH37" s="10">
        <v>1.6341000000000001</v>
      </c>
      <c r="DI37" s="10">
        <v>0.42436000000000001</v>
      </c>
      <c r="DJ37" s="10">
        <v>38.709000000000003</v>
      </c>
      <c r="DK37" s="10">
        <v>0.21503</v>
      </c>
      <c r="DL37" s="10">
        <v>16.347999999999999</v>
      </c>
      <c r="DM37" s="10">
        <v>12.3728</v>
      </c>
      <c r="DN37" s="10">
        <v>1.1798</v>
      </c>
      <c r="DO37" s="10">
        <v>1.006</v>
      </c>
      <c r="DP37" s="10">
        <v>0.87914000000000003</v>
      </c>
      <c r="DQ37" s="10">
        <v>86.718599999999995</v>
      </c>
      <c r="DR37" s="10">
        <v>0.19786000000000001</v>
      </c>
      <c r="DS37" s="10">
        <v>0.45968999999999999</v>
      </c>
      <c r="DT37" s="10">
        <v>2.8910999999999998</v>
      </c>
      <c r="DU37" s="10">
        <v>8.4272E-2</v>
      </c>
      <c r="DV37" s="11"/>
      <c r="DW37" s="10">
        <v>0.92698999999999998</v>
      </c>
      <c r="DX37" s="10">
        <v>1.7734000000000001</v>
      </c>
      <c r="DY37" s="10">
        <v>338.06720000000001</v>
      </c>
      <c r="DZ37" s="10">
        <v>0.10259</v>
      </c>
      <c r="EA37" s="10">
        <v>15.845800000000001</v>
      </c>
      <c r="EB37" s="10">
        <v>9.2626000000000008</v>
      </c>
      <c r="EC37" s="10">
        <v>1.2936000000000001</v>
      </c>
      <c r="ED37" s="10">
        <v>2.9312000000000001E-2</v>
      </c>
      <c r="EE37" s="10">
        <v>27.180499999999999</v>
      </c>
      <c r="EF37" s="10">
        <v>1.0751999999999999</v>
      </c>
      <c r="EG37" s="10">
        <v>5.3018000000000001</v>
      </c>
      <c r="EH37" s="10">
        <v>1.3887</v>
      </c>
      <c r="EI37" s="10">
        <v>0.11358</v>
      </c>
      <c r="EJ37" s="10">
        <v>1.4698</v>
      </c>
      <c r="EK37" s="10">
        <v>170.8176</v>
      </c>
      <c r="EL37" s="10">
        <v>1.8274999999999999</v>
      </c>
      <c r="EM37" s="10">
        <v>27.6995</v>
      </c>
      <c r="EN37" s="10">
        <v>2.2833999999999999</v>
      </c>
      <c r="EO37" s="10">
        <v>0.60194000000000003</v>
      </c>
      <c r="EP37" s="10">
        <v>44.813400000000001</v>
      </c>
      <c r="EQ37" s="10">
        <v>7.3280000000000003E-3</v>
      </c>
      <c r="ER37" s="10">
        <v>94.868499999999997</v>
      </c>
      <c r="ES37" s="10">
        <v>10.1236</v>
      </c>
      <c r="ET37" s="10">
        <v>36.224200000000003</v>
      </c>
      <c r="EU37" s="10">
        <v>0.93432000000000004</v>
      </c>
      <c r="EV37" s="10">
        <v>13.2247</v>
      </c>
      <c r="EW37" s="10">
        <v>77.176599999999993</v>
      </c>
      <c r="EX37" s="10">
        <v>0.19786000000000001</v>
      </c>
      <c r="EY37" s="10">
        <v>3.786</v>
      </c>
      <c r="EZ37" s="10">
        <v>2.1911</v>
      </c>
      <c r="FA37" s="10">
        <v>2.9140999999999999</v>
      </c>
      <c r="FB37" s="10">
        <v>23.852</v>
      </c>
      <c r="FC37" s="10">
        <v>48.929200000000002</v>
      </c>
      <c r="FD37" s="10">
        <v>365.3707</v>
      </c>
      <c r="FE37" s="10">
        <v>49.3919</v>
      </c>
      <c r="FF37" s="10">
        <v>30.984999999999999</v>
      </c>
      <c r="FG37" s="10">
        <v>0.25051000000000001</v>
      </c>
      <c r="FH37" s="11"/>
      <c r="FI37" s="10">
        <v>122.8323</v>
      </c>
      <c r="FJ37" s="10">
        <v>1859.4595999999999</v>
      </c>
      <c r="FK37" s="10">
        <v>0.48241000000000001</v>
      </c>
      <c r="FL37" s="10">
        <v>1.0992E-2</v>
      </c>
      <c r="FM37" s="10">
        <v>0.11358</v>
      </c>
      <c r="FN37" s="10">
        <v>0.23083000000000001</v>
      </c>
      <c r="FO37" s="10">
        <v>7.3279999999999998E-2</v>
      </c>
      <c r="FP37" s="10">
        <v>0.10259</v>
      </c>
      <c r="FQ37" s="10">
        <v>0.10992</v>
      </c>
      <c r="FR37" s="10">
        <v>4.7632000000000001E-2</v>
      </c>
      <c r="FS37" s="10">
        <v>313.32740000000001</v>
      </c>
      <c r="FT37" s="10">
        <v>3.5379999999999998</v>
      </c>
      <c r="FU37" s="10">
        <v>38.095700000000001</v>
      </c>
      <c r="FV37" s="10">
        <v>0.1832</v>
      </c>
      <c r="FW37" s="10">
        <v>0.45434000000000002</v>
      </c>
      <c r="FX37" s="10">
        <v>50.871099999999998</v>
      </c>
      <c r="FY37" s="10">
        <v>46.484200000000001</v>
      </c>
      <c r="FZ37" s="10">
        <v>14.3035</v>
      </c>
      <c r="GA37" s="10">
        <v>0.17221</v>
      </c>
      <c r="GB37" s="10">
        <v>0.63922000000000001</v>
      </c>
      <c r="GC37" s="10">
        <v>320.38990000000001</v>
      </c>
      <c r="GD37" s="10">
        <v>321.83780000000002</v>
      </c>
      <c r="GE37" s="10">
        <v>241.1952</v>
      </c>
      <c r="GF37" s="10">
        <v>4.9756</v>
      </c>
      <c r="GG37" s="10">
        <v>2.7463000000000002</v>
      </c>
      <c r="GH37" s="10">
        <v>2.0384000000000002</v>
      </c>
      <c r="GI37" s="10">
        <v>0.71082000000000001</v>
      </c>
      <c r="GJ37" s="10">
        <v>57.493400000000001</v>
      </c>
      <c r="GK37" s="10">
        <v>43.600999999999999</v>
      </c>
      <c r="GL37" s="10">
        <v>45.221699999999998</v>
      </c>
      <c r="GM37" s="10">
        <v>152.17169999999999</v>
      </c>
      <c r="GN37" s="10">
        <v>5.1614000000000004</v>
      </c>
      <c r="GO37" s="10">
        <v>2.4249999999999998</v>
      </c>
      <c r="GP37" s="10">
        <v>121.2135</v>
      </c>
      <c r="GQ37" s="11"/>
      <c r="GR37" s="10">
        <v>1.0689</v>
      </c>
      <c r="GS37" s="10">
        <v>8.4272E-2</v>
      </c>
      <c r="GT37" s="10">
        <v>17.411799999999999</v>
      </c>
      <c r="GU37" s="10">
        <v>16.353899999999999</v>
      </c>
      <c r="GV37" s="10">
        <v>171.0112</v>
      </c>
      <c r="GW37" s="10">
        <v>27.517499999999998</v>
      </c>
      <c r="GX37" s="10">
        <v>4.0304E-2</v>
      </c>
      <c r="GY37" s="10">
        <v>7.3280000000000003E-3</v>
      </c>
      <c r="GZ37" s="10">
        <v>0.79791999999999996</v>
      </c>
      <c r="HA37" s="10">
        <v>510.1995</v>
      </c>
      <c r="HB37" s="10">
        <v>65.565399999999997</v>
      </c>
      <c r="HC37" s="10">
        <v>578.84220000000005</v>
      </c>
      <c r="HD37" s="10">
        <v>5283.4376000000002</v>
      </c>
      <c r="HE37" s="10">
        <v>4.4391999999999996</v>
      </c>
      <c r="HF37" s="10">
        <v>115.6172</v>
      </c>
      <c r="HG37" s="10">
        <v>6.2288000000000003E-2</v>
      </c>
      <c r="HH37" s="10">
        <v>123.9679</v>
      </c>
      <c r="HI37" s="10">
        <v>22.710599999999999</v>
      </c>
      <c r="HJ37" s="11"/>
      <c r="HK37" s="11"/>
      <c r="HL37" s="10">
        <v>8.6259999999999994</v>
      </c>
      <c r="HM37" s="10">
        <v>2.4672000000000001</v>
      </c>
      <c r="HN37" s="10">
        <v>16.2591</v>
      </c>
      <c r="HO37" s="10">
        <f t="shared" si="3"/>
        <v>22123.656122000011</v>
      </c>
      <c r="HP37" s="10">
        <f t="shared" si="4"/>
        <v>22.123656122000011</v>
      </c>
      <c r="HQ37" s="10">
        <f t="shared" si="5"/>
        <v>6.0331759263703333</v>
      </c>
      <c r="HR37" s="11"/>
      <c r="HS37" s="11"/>
      <c r="HT37" s="11"/>
      <c r="HU37" s="11"/>
      <c r="HV37" s="11"/>
      <c r="HW37" s="11"/>
    </row>
    <row r="38" spans="1:231" ht="19.95" customHeight="1">
      <c r="A38" s="8">
        <v>1994</v>
      </c>
      <c r="B38" s="9">
        <v>1.2816000000000001</v>
      </c>
      <c r="C38" s="10">
        <v>1.9126000000000001</v>
      </c>
      <c r="D38" s="10">
        <v>86.146699999999996</v>
      </c>
      <c r="E38" s="10">
        <v>0.40670000000000001</v>
      </c>
      <c r="F38" s="10">
        <v>3.8656000000000001</v>
      </c>
      <c r="G38" s="10">
        <v>6.5951999999999997E-2</v>
      </c>
      <c r="H38" s="10">
        <v>0.21618000000000001</v>
      </c>
      <c r="I38" s="10">
        <v>122.229</v>
      </c>
      <c r="J38" s="10">
        <v>2.7147000000000001</v>
      </c>
      <c r="K38" s="10">
        <v>0.65952</v>
      </c>
      <c r="L38" s="10">
        <v>294.01499999999999</v>
      </c>
      <c r="M38" s="10">
        <v>61.002400000000002</v>
      </c>
      <c r="N38" s="10">
        <v>41.949800000000003</v>
      </c>
      <c r="O38" s="10">
        <v>1.7477</v>
      </c>
      <c r="P38" s="10">
        <v>14.755599999999999</v>
      </c>
      <c r="Q38" s="10">
        <v>17.5379</v>
      </c>
      <c r="R38" s="10">
        <v>0.74033000000000004</v>
      </c>
      <c r="S38" s="10">
        <v>62.367899999999999</v>
      </c>
      <c r="T38" s="10">
        <v>124.8169</v>
      </c>
      <c r="U38" s="10">
        <v>0.37373000000000001</v>
      </c>
      <c r="V38" s="10">
        <v>1.2222999999999999</v>
      </c>
      <c r="W38" s="10">
        <v>0.53127999999999997</v>
      </c>
      <c r="X38" s="10">
        <v>0.20146</v>
      </c>
      <c r="Y38" s="10">
        <v>8.5924999999999994</v>
      </c>
      <c r="Z38" s="10">
        <v>0.23729</v>
      </c>
      <c r="AA38" s="10">
        <v>3.2044000000000001</v>
      </c>
      <c r="AB38" s="10">
        <v>3.0301</v>
      </c>
      <c r="AC38" s="10">
        <v>239.47059999999999</v>
      </c>
      <c r="AD38" s="10">
        <v>9.8928000000000002E-2</v>
      </c>
      <c r="AE38" s="10">
        <v>4.6898999999999997</v>
      </c>
      <c r="AF38" s="10">
        <v>56.083500000000001</v>
      </c>
      <c r="AG38" s="10">
        <v>0.64485999999999999</v>
      </c>
      <c r="AH38" s="10">
        <v>0.23449999999999999</v>
      </c>
      <c r="AI38" s="10">
        <v>1.4671000000000001</v>
      </c>
      <c r="AJ38" s="10">
        <v>2.8403999999999998</v>
      </c>
      <c r="AK38" s="10">
        <v>482.4366</v>
      </c>
      <c r="AL38" s="10">
        <v>0.11358</v>
      </c>
      <c r="AM38" s="11"/>
      <c r="AN38" s="10">
        <v>0.23449999999999999</v>
      </c>
      <c r="AO38" s="10">
        <v>0.40670000000000001</v>
      </c>
      <c r="AP38" s="10">
        <v>37.740099999999998</v>
      </c>
      <c r="AQ38" s="10">
        <v>3010.2424000000001</v>
      </c>
      <c r="AR38" s="10">
        <v>66.790599999999998</v>
      </c>
      <c r="AS38" s="10">
        <v>6.9615999999999997E-2</v>
      </c>
      <c r="AT38" s="10">
        <v>1.7690999999999999</v>
      </c>
      <c r="AU38" s="10">
        <v>4.0304E-2</v>
      </c>
      <c r="AV38" s="10">
        <v>5.2003000000000004</v>
      </c>
      <c r="AW38" s="10">
        <v>4.133</v>
      </c>
      <c r="AX38" s="10">
        <v>16.214200000000002</v>
      </c>
      <c r="AY38" s="10">
        <v>21.2867</v>
      </c>
      <c r="AZ38" s="10">
        <v>4.5084999999999997</v>
      </c>
      <c r="BA38" s="10">
        <v>6.0110999999999999</v>
      </c>
      <c r="BB38" s="10">
        <v>132.37610000000001</v>
      </c>
      <c r="BC38" s="10">
        <v>1.6995</v>
      </c>
      <c r="BD38" s="10">
        <v>64.669799999999995</v>
      </c>
      <c r="BE38" s="10">
        <v>0.32976</v>
      </c>
      <c r="BF38" s="10">
        <v>6.5951999999999997E-2</v>
      </c>
      <c r="BG38" s="10">
        <v>12.376799999999999</v>
      </c>
      <c r="BH38" s="10">
        <v>13.538500000000001</v>
      </c>
      <c r="BI38" s="10">
        <v>84.5565</v>
      </c>
      <c r="BJ38" s="10">
        <v>4.5138999999999996</v>
      </c>
      <c r="BK38" s="10">
        <v>7.6943999999999999E-2</v>
      </c>
      <c r="BL38" s="10">
        <v>0.70682999999999996</v>
      </c>
      <c r="BM38" s="10">
        <v>19.734000000000002</v>
      </c>
      <c r="BN38" s="10">
        <v>2.1968999999999999</v>
      </c>
      <c r="BO38" s="10">
        <v>0.57525000000000004</v>
      </c>
      <c r="BP38" s="11"/>
      <c r="BQ38" s="10">
        <v>0.73860000000000003</v>
      </c>
      <c r="BR38" s="10">
        <v>61.716200000000001</v>
      </c>
      <c r="BS38" s="10">
        <v>390.81529999999998</v>
      </c>
      <c r="BT38" s="11"/>
      <c r="BU38" s="10">
        <v>0.44334000000000001</v>
      </c>
      <c r="BV38" s="10">
        <v>4.3745000000000003</v>
      </c>
      <c r="BW38" s="10">
        <v>0.20885000000000001</v>
      </c>
      <c r="BX38" s="10">
        <v>6.069</v>
      </c>
      <c r="BY38" s="10">
        <v>939.63030000000003</v>
      </c>
      <c r="BZ38" s="10">
        <v>5.0887000000000002</v>
      </c>
      <c r="CA38" s="11"/>
      <c r="CB38" s="10">
        <v>86.4422</v>
      </c>
      <c r="CC38" s="10">
        <v>0.29677999999999999</v>
      </c>
      <c r="CD38" s="10">
        <v>0.1429</v>
      </c>
      <c r="CE38" s="11"/>
      <c r="CF38" s="10">
        <v>6.7507999999999999</v>
      </c>
      <c r="CG38" s="10">
        <v>1.1248</v>
      </c>
      <c r="CH38" s="10">
        <v>0.1832</v>
      </c>
      <c r="CI38" s="10">
        <v>1.4582999999999999</v>
      </c>
      <c r="CJ38" s="10">
        <v>0.1832</v>
      </c>
      <c r="CK38" s="10">
        <v>3.1747999999999998</v>
      </c>
      <c r="CL38" s="10">
        <v>31.079000000000001</v>
      </c>
      <c r="CM38" s="10">
        <v>61.973500000000001</v>
      </c>
      <c r="CN38" s="10">
        <v>2.3733</v>
      </c>
      <c r="CO38" s="10">
        <v>717.12350000000004</v>
      </c>
      <c r="CP38" s="10">
        <v>222.85419999999999</v>
      </c>
      <c r="CQ38" s="10">
        <v>263.5204</v>
      </c>
      <c r="CR38" s="10">
        <v>71.089200000000005</v>
      </c>
      <c r="CS38" s="10">
        <v>34.838200000000001</v>
      </c>
      <c r="CT38" s="10">
        <v>47.474499999999999</v>
      </c>
      <c r="CU38" s="10">
        <v>424.58170000000001</v>
      </c>
      <c r="CV38" s="10">
        <v>8.1910000000000007</v>
      </c>
      <c r="CW38" s="10">
        <v>1227.5668000000001</v>
      </c>
      <c r="CX38" s="10">
        <v>13.249499999999999</v>
      </c>
      <c r="CY38" s="10">
        <v>185.83529999999999</v>
      </c>
      <c r="CZ38" s="10">
        <v>6.4203999999999999</v>
      </c>
      <c r="DA38" s="10">
        <v>2.9312000000000001E-2</v>
      </c>
      <c r="DB38" s="11"/>
      <c r="DC38" s="10">
        <v>55.2258</v>
      </c>
      <c r="DD38" s="10">
        <v>6.1458000000000004</v>
      </c>
      <c r="DE38" s="10">
        <v>0.63319000000000003</v>
      </c>
      <c r="DF38" s="10">
        <v>10.296799999999999</v>
      </c>
      <c r="DG38" s="10">
        <v>11.110799999999999</v>
      </c>
      <c r="DH38" s="10">
        <v>1.6744000000000001</v>
      </c>
      <c r="DI38" s="10">
        <v>0.42136000000000001</v>
      </c>
      <c r="DJ38" s="10">
        <v>43.753</v>
      </c>
      <c r="DK38" s="10">
        <v>0.20111000000000001</v>
      </c>
      <c r="DL38" s="10">
        <v>15.7883</v>
      </c>
      <c r="DM38" s="10">
        <v>11.5639</v>
      </c>
      <c r="DN38" s="10">
        <v>1.2714000000000001</v>
      </c>
      <c r="DO38" s="10">
        <v>1.2461</v>
      </c>
      <c r="DP38" s="10">
        <v>0.90469999999999995</v>
      </c>
      <c r="DQ38" s="10">
        <v>90.224299999999999</v>
      </c>
      <c r="DR38" s="10">
        <v>0.19786000000000001</v>
      </c>
      <c r="DS38" s="10">
        <v>0.46766000000000002</v>
      </c>
      <c r="DT38" s="10">
        <v>2.6697000000000002</v>
      </c>
      <c r="DU38" s="10">
        <v>8.4272E-2</v>
      </c>
      <c r="DV38" s="11"/>
      <c r="DW38" s="10">
        <v>0.95630000000000004</v>
      </c>
      <c r="DX38" s="10">
        <v>1.6232</v>
      </c>
      <c r="DY38" s="10">
        <v>351.52820000000003</v>
      </c>
      <c r="DZ38" s="10">
        <v>0.10625999999999999</v>
      </c>
      <c r="EA38" s="10">
        <v>12.427</v>
      </c>
      <c r="EB38" s="10">
        <v>7.9271000000000003</v>
      </c>
      <c r="EC38" s="10">
        <v>1.2566999999999999</v>
      </c>
      <c r="ED38" s="10">
        <v>3.2975999999999998E-2</v>
      </c>
      <c r="EE38" s="10">
        <v>28.5428</v>
      </c>
      <c r="EF38" s="10">
        <v>1.0571999999999999</v>
      </c>
      <c r="EG38" s="10">
        <v>6.1962000000000002</v>
      </c>
      <c r="EH38" s="10">
        <v>1.5719000000000001</v>
      </c>
      <c r="EI38" s="10">
        <v>0.10992</v>
      </c>
      <c r="EJ38" s="10">
        <v>1.7000999999999999</v>
      </c>
      <c r="EK38" s="10">
        <v>171.4014</v>
      </c>
      <c r="EL38" s="10">
        <v>1.9703999999999999</v>
      </c>
      <c r="EM38" s="10">
        <v>27.880299999999998</v>
      </c>
      <c r="EN38" s="10">
        <v>2.5179</v>
      </c>
      <c r="EO38" s="10">
        <v>0.57991999999999999</v>
      </c>
      <c r="EP38" s="10">
        <v>34.933700000000002</v>
      </c>
      <c r="EQ38" s="10">
        <v>7.3280000000000003E-3</v>
      </c>
      <c r="ER38" s="10">
        <v>86.719499999999996</v>
      </c>
      <c r="ES38" s="10">
        <v>10.248200000000001</v>
      </c>
      <c r="ET38" s="10">
        <v>38.088999999999999</v>
      </c>
      <c r="EU38" s="10">
        <v>0.96730000000000005</v>
      </c>
      <c r="EV38" s="10">
        <v>15.0535</v>
      </c>
      <c r="EW38" s="10">
        <v>84.019300000000001</v>
      </c>
      <c r="EX38" s="10">
        <v>0.19786000000000001</v>
      </c>
      <c r="EY38" s="10">
        <v>4.1783999999999999</v>
      </c>
      <c r="EZ38" s="10">
        <v>2.1800999999999999</v>
      </c>
      <c r="FA38" s="10">
        <v>3.4043000000000001</v>
      </c>
      <c r="FB38" s="10">
        <v>23.720199999999998</v>
      </c>
      <c r="FC38" s="10">
        <v>54.1233</v>
      </c>
      <c r="FD38" s="10">
        <v>360.41680000000002</v>
      </c>
      <c r="FE38" s="10">
        <v>50.246400000000001</v>
      </c>
      <c r="FF38" s="10">
        <v>30.7044</v>
      </c>
      <c r="FG38" s="10">
        <v>0.34448000000000001</v>
      </c>
      <c r="FH38" s="11"/>
      <c r="FI38" s="10">
        <v>121.9615</v>
      </c>
      <c r="FJ38" s="10">
        <v>1641.3992000000001</v>
      </c>
      <c r="FK38" s="10">
        <v>0.46103</v>
      </c>
      <c r="FL38" s="10">
        <v>1.0992E-2</v>
      </c>
      <c r="FM38" s="10">
        <v>0.12091</v>
      </c>
      <c r="FN38" s="10">
        <v>0.25647999999999999</v>
      </c>
      <c r="FO38" s="10">
        <v>6.9615999999999997E-2</v>
      </c>
      <c r="FP38" s="10">
        <v>0.12091</v>
      </c>
      <c r="FQ38" s="10">
        <v>0.11358</v>
      </c>
      <c r="FR38" s="10">
        <v>4.7632000000000001E-2</v>
      </c>
      <c r="FS38" s="10">
        <v>307.47320000000002</v>
      </c>
      <c r="FT38" s="10">
        <v>3.8367</v>
      </c>
      <c r="FU38" s="10">
        <v>37.040100000000002</v>
      </c>
      <c r="FV38" s="10">
        <v>0.20152</v>
      </c>
      <c r="FW38" s="10">
        <v>0.47998000000000002</v>
      </c>
      <c r="FX38" s="10">
        <v>61.3446</v>
      </c>
      <c r="FY38" s="10">
        <v>43.878700000000002</v>
      </c>
      <c r="FZ38" s="10">
        <v>14.6427</v>
      </c>
      <c r="GA38" s="10">
        <v>0.1832</v>
      </c>
      <c r="GB38" s="10">
        <v>0.62822</v>
      </c>
      <c r="GC38" s="10">
        <v>338.62479999999999</v>
      </c>
      <c r="GD38" s="10">
        <v>344.2638</v>
      </c>
      <c r="GE38" s="10">
        <v>253.66139999999999</v>
      </c>
      <c r="GF38" s="10">
        <v>5.4358000000000004</v>
      </c>
      <c r="GG38" s="10">
        <v>3.7850000000000001</v>
      </c>
      <c r="GH38" s="10">
        <v>2.0417000000000001</v>
      </c>
      <c r="GI38" s="10">
        <v>1.0809</v>
      </c>
      <c r="GJ38" s="10">
        <v>59.953800000000001</v>
      </c>
      <c r="GK38" s="10">
        <v>42.675899999999999</v>
      </c>
      <c r="GL38" s="10">
        <v>46.189799999999998</v>
      </c>
      <c r="GM38" s="10">
        <v>157.87549999999999</v>
      </c>
      <c r="GN38" s="10">
        <v>2.3473999999999999</v>
      </c>
      <c r="GO38" s="10">
        <v>2.0636000000000001</v>
      </c>
      <c r="GP38" s="10">
        <v>134.50659999999999</v>
      </c>
      <c r="GQ38" s="11"/>
      <c r="GR38" s="10">
        <v>1.0048999999999999</v>
      </c>
      <c r="GS38" s="10">
        <v>9.1600000000000001E-2</v>
      </c>
      <c r="GT38" s="10">
        <v>17.023199999999999</v>
      </c>
      <c r="GU38" s="10">
        <v>15.7761</v>
      </c>
      <c r="GV38" s="10">
        <v>167.4331</v>
      </c>
      <c r="GW38" s="10">
        <v>33.442500000000003</v>
      </c>
      <c r="GX38" s="10">
        <v>4.3968E-2</v>
      </c>
      <c r="GY38" s="10">
        <v>7.3280000000000003E-3</v>
      </c>
      <c r="GZ38" s="10">
        <v>0.70840999999999998</v>
      </c>
      <c r="HA38" s="10">
        <v>419.2663</v>
      </c>
      <c r="HB38" s="10">
        <v>72.604600000000005</v>
      </c>
      <c r="HC38" s="10">
        <v>575.10789999999997</v>
      </c>
      <c r="HD38" s="10">
        <v>5377.0326999999997</v>
      </c>
      <c r="HE38" s="10">
        <v>4.0298999999999996</v>
      </c>
      <c r="HF38" s="10">
        <v>107.98</v>
      </c>
      <c r="HG38" s="10">
        <v>6.2288000000000003E-2</v>
      </c>
      <c r="HH38" s="10">
        <v>129.5309</v>
      </c>
      <c r="HI38" s="10">
        <v>26.018599999999999</v>
      </c>
      <c r="HJ38" s="11"/>
      <c r="HK38" s="11"/>
      <c r="HL38" s="10">
        <v>8.9825999999999997</v>
      </c>
      <c r="HM38" s="10">
        <v>2.3929999999999998</v>
      </c>
      <c r="HN38" s="10">
        <v>17.6845</v>
      </c>
      <c r="HO38" s="10">
        <f t="shared" si="3"/>
        <v>22260.832008000008</v>
      </c>
      <c r="HP38" s="10">
        <f t="shared" si="4"/>
        <v>22.260832008000008</v>
      </c>
      <c r="HQ38" s="10">
        <f t="shared" si="5"/>
        <v>6.0705841308971937</v>
      </c>
      <c r="HR38" s="11"/>
      <c r="HS38" s="11"/>
      <c r="HT38" s="11"/>
      <c r="HU38" s="11"/>
      <c r="HV38" s="11"/>
      <c r="HW38" s="11"/>
    </row>
    <row r="39" spans="1:231" ht="19.95" customHeight="1">
      <c r="A39" s="8">
        <v>1995</v>
      </c>
      <c r="B39" s="9">
        <v>1.2304999999999999</v>
      </c>
      <c r="C39" s="10">
        <v>2.0665</v>
      </c>
      <c r="D39" s="10">
        <v>94.981999999999999</v>
      </c>
      <c r="E39" s="10">
        <v>0.42502000000000001</v>
      </c>
      <c r="F39" s="10">
        <v>10.9483</v>
      </c>
      <c r="G39" s="10">
        <v>6.5951999999999997E-2</v>
      </c>
      <c r="H39" s="10">
        <v>0.2235</v>
      </c>
      <c r="I39" s="10">
        <v>127.7649</v>
      </c>
      <c r="J39" s="10">
        <v>3.4323000000000001</v>
      </c>
      <c r="K39" s="10">
        <v>0.70714999999999995</v>
      </c>
      <c r="L39" s="10">
        <v>305.41019999999997</v>
      </c>
      <c r="M39" s="10">
        <v>64.065299999999993</v>
      </c>
      <c r="N39" s="10">
        <v>33.312199999999997</v>
      </c>
      <c r="O39" s="10">
        <v>1.7403999999999999</v>
      </c>
      <c r="P39" s="10">
        <v>14.787100000000001</v>
      </c>
      <c r="Q39" s="10">
        <v>21.041599999999999</v>
      </c>
      <c r="R39" s="10">
        <v>0.80628</v>
      </c>
      <c r="S39" s="10">
        <v>57.375500000000002</v>
      </c>
      <c r="T39" s="10">
        <v>125.95650000000001</v>
      </c>
      <c r="U39" s="10">
        <v>0.37739</v>
      </c>
      <c r="V39" s="10">
        <v>1.2736000000000001</v>
      </c>
      <c r="W39" s="10">
        <v>0.53127999999999997</v>
      </c>
      <c r="X39" s="10">
        <v>0.23613999999999999</v>
      </c>
      <c r="Y39" s="10">
        <v>9.7989999999999995</v>
      </c>
      <c r="Z39" s="10">
        <v>0.23482</v>
      </c>
      <c r="AA39" s="10">
        <v>3.4028</v>
      </c>
      <c r="AB39" s="10">
        <v>3.0448</v>
      </c>
      <c r="AC39" s="10">
        <v>255.58349999999999</v>
      </c>
      <c r="AD39" s="10">
        <v>0.10992</v>
      </c>
      <c r="AE39" s="10">
        <v>4.7851999999999997</v>
      </c>
      <c r="AF39" s="10">
        <v>57.7164</v>
      </c>
      <c r="AG39" s="10">
        <v>0.62387000000000004</v>
      </c>
      <c r="AH39" s="10">
        <v>0.23816000000000001</v>
      </c>
      <c r="AI39" s="10">
        <v>1.5403</v>
      </c>
      <c r="AJ39" s="10">
        <v>3.2035</v>
      </c>
      <c r="AK39" s="10">
        <v>494.9203</v>
      </c>
      <c r="AL39" s="10">
        <v>0.12091</v>
      </c>
      <c r="AM39" s="11"/>
      <c r="AN39" s="10">
        <v>0.23449999999999999</v>
      </c>
      <c r="AO39" s="10">
        <v>0.42136000000000001</v>
      </c>
      <c r="AP39" s="10">
        <v>41.09</v>
      </c>
      <c r="AQ39" s="10">
        <v>3265.0569999999998</v>
      </c>
      <c r="AR39" s="10">
        <v>58.775399999999998</v>
      </c>
      <c r="AS39" s="10">
        <v>7.3279999999999998E-2</v>
      </c>
      <c r="AT39" s="10">
        <v>1.1859</v>
      </c>
      <c r="AU39" s="10">
        <v>4.0304E-2</v>
      </c>
      <c r="AV39" s="10">
        <v>4.8018999999999998</v>
      </c>
      <c r="AW39" s="10">
        <v>6.1154999999999999</v>
      </c>
      <c r="AX39" s="10">
        <v>16.926300000000001</v>
      </c>
      <c r="AY39" s="10">
        <v>25.586200000000002</v>
      </c>
      <c r="AZ39" s="10">
        <v>4.4615</v>
      </c>
      <c r="BA39" s="10">
        <v>5.8822999999999999</v>
      </c>
      <c r="BB39" s="10">
        <v>131.60830000000001</v>
      </c>
      <c r="BC39" s="10">
        <v>2.1036999999999999</v>
      </c>
      <c r="BD39" s="10">
        <v>61.581600000000002</v>
      </c>
      <c r="BE39" s="10">
        <v>0.32976</v>
      </c>
      <c r="BF39" s="10">
        <v>8.0607999999999999E-2</v>
      </c>
      <c r="BG39" s="10">
        <v>15.7714</v>
      </c>
      <c r="BH39" s="10">
        <v>22.697900000000001</v>
      </c>
      <c r="BI39" s="10">
        <v>94.888400000000004</v>
      </c>
      <c r="BJ39" s="10">
        <v>4.9981999999999998</v>
      </c>
      <c r="BK39" s="10">
        <v>8.4272E-2</v>
      </c>
      <c r="BL39" s="10">
        <v>0.79040999999999995</v>
      </c>
      <c r="BM39" s="10">
        <v>18.0488</v>
      </c>
      <c r="BN39" s="10">
        <v>2.5057</v>
      </c>
      <c r="BO39" s="10">
        <v>0.57157999999999998</v>
      </c>
      <c r="BP39" s="11"/>
      <c r="BQ39" s="10">
        <v>0.75388999999999995</v>
      </c>
      <c r="BR39" s="10">
        <v>58.145400000000002</v>
      </c>
      <c r="BS39" s="10">
        <v>397.45549999999997</v>
      </c>
      <c r="BT39" s="11"/>
      <c r="BU39" s="10">
        <v>0.43235000000000001</v>
      </c>
      <c r="BV39" s="10">
        <v>4.6063000000000001</v>
      </c>
      <c r="BW39" s="10">
        <v>0.21618000000000001</v>
      </c>
      <c r="BX39" s="10">
        <v>2.2913999999999999</v>
      </c>
      <c r="BY39" s="10">
        <v>939.17669999999998</v>
      </c>
      <c r="BZ39" s="10">
        <v>5.1542000000000003</v>
      </c>
      <c r="CA39" s="11"/>
      <c r="CB39" s="10">
        <v>86.979100000000003</v>
      </c>
      <c r="CC39" s="10">
        <v>0.32242999999999999</v>
      </c>
      <c r="CD39" s="10">
        <v>0.15021999999999999</v>
      </c>
      <c r="CE39" s="11"/>
      <c r="CF39" s="10">
        <v>7.0792999999999999</v>
      </c>
      <c r="CG39" s="10">
        <v>1.1652</v>
      </c>
      <c r="CH39" s="10">
        <v>0.1832</v>
      </c>
      <c r="CI39" s="10">
        <v>1.5719000000000001</v>
      </c>
      <c r="CJ39" s="10">
        <v>0.87570000000000003</v>
      </c>
      <c r="CK39" s="10">
        <v>3.7825000000000002</v>
      </c>
      <c r="CL39" s="10">
        <v>31.266400000000001</v>
      </c>
      <c r="CM39" s="10">
        <v>61.690800000000003</v>
      </c>
      <c r="CN39" s="10">
        <v>2.4767000000000001</v>
      </c>
      <c r="CO39" s="10">
        <v>762.3338</v>
      </c>
      <c r="CP39" s="10">
        <v>226.54519999999999</v>
      </c>
      <c r="CQ39" s="10">
        <v>271.14749999999998</v>
      </c>
      <c r="CR39" s="10">
        <v>74.084199999999996</v>
      </c>
      <c r="CS39" s="10">
        <v>35.852699999999999</v>
      </c>
      <c r="CT39" s="10">
        <v>49.865200000000002</v>
      </c>
      <c r="CU39" s="10">
        <v>448.3329</v>
      </c>
      <c r="CV39" s="10">
        <v>9.1734000000000009</v>
      </c>
      <c r="CW39" s="10">
        <v>1239.9282000000001</v>
      </c>
      <c r="CX39" s="10">
        <v>13.207700000000001</v>
      </c>
      <c r="CY39" s="10">
        <v>178.20750000000001</v>
      </c>
      <c r="CZ39" s="10">
        <v>7.4055</v>
      </c>
      <c r="DA39" s="10">
        <v>2.9312000000000001E-2</v>
      </c>
      <c r="DB39" s="11"/>
      <c r="DC39" s="10">
        <v>54.588999999999999</v>
      </c>
      <c r="DD39" s="10">
        <v>4.5110000000000001</v>
      </c>
      <c r="DE39" s="10">
        <v>0.66983000000000004</v>
      </c>
      <c r="DF39" s="10">
        <v>9.0902999999999992</v>
      </c>
      <c r="DG39" s="10">
        <v>12.2546</v>
      </c>
      <c r="DH39" s="10">
        <v>1.7074</v>
      </c>
      <c r="DI39" s="10">
        <v>0.42436000000000001</v>
      </c>
      <c r="DJ39" s="10">
        <v>45.691099999999999</v>
      </c>
      <c r="DK39" s="10">
        <v>0.20419999999999999</v>
      </c>
      <c r="DL39" s="10">
        <v>15.0845</v>
      </c>
      <c r="DM39" s="10">
        <v>9.1702999999999992</v>
      </c>
      <c r="DN39" s="10">
        <v>1.2311000000000001</v>
      </c>
      <c r="DO39" s="10">
        <v>1.2864</v>
      </c>
      <c r="DP39" s="10">
        <v>0.90695999999999999</v>
      </c>
      <c r="DQ39" s="10">
        <v>113.9337</v>
      </c>
      <c r="DR39" s="10">
        <v>0.24915000000000001</v>
      </c>
      <c r="DS39" s="10">
        <v>0.47132000000000002</v>
      </c>
      <c r="DT39" s="10">
        <v>2.4603000000000002</v>
      </c>
      <c r="DU39" s="10">
        <v>8.7936E-2</v>
      </c>
      <c r="DV39" s="11"/>
      <c r="DW39" s="10">
        <v>1.0148999999999999</v>
      </c>
      <c r="DX39" s="10">
        <v>1.8283</v>
      </c>
      <c r="DY39" s="10">
        <v>331.59660000000002</v>
      </c>
      <c r="DZ39" s="10">
        <v>0.11358</v>
      </c>
      <c r="EA39" s="10">
        <v>11.4054</v>
      </c>
      <c r="EB39" s="10">
        <v>7.8994</v>
      </c>
      <c r="EC39" s="10">
        <v>1.3272999999999999</v>
      </c>
      <c r="ED39" s="10">
        <v>3.2975999999999998E-2</v>
      </c>
      <c r="EE39" s="10">
        <v>29.157</v>
      </c>
      <c r="EF39" s="10">
        <v>1.1085</v>
      </c>
      <c r="EG39" s="10">
        <v>6.9062999999999999</v>
      </c>
      <c r="EH39" s="10">
        <v>1.6194999999999999</v>
      </c>
      <c r="EI39" s="10">
        <v>0.10625999999999999</v>
      </c>
      <c r="EJ39" s="10">
        <v>2.4064000000000001</v>
      </c>
      <c r="EK39" s="10">
        <v>172.96619999999999</v>
      </c>
      <c r="EL39" s="10">
        <v>2.0642</v>
      </c>
      <c r="EM39" s="10">
        <v>28.001799999999999</v>
      </c>
      <c r="EN39" s="10">
        <v>2.7547999999999999</v>
      </c>
      <c r="EO39" s="10">
        <v>0.56159999999999999</v>
      </c>
      <c r="EP39" s="10">
        <v>33.417200000000001</v>
      </c>
      <c r="EQ39" s="10">
        <v>7.3280000000000003E-3</v>
      </c>
      <c r="ER39" s="10">
        <v>81.259900000000002</v>
      </c>
      <c r="ES39" s="10">
        <v>10.6366</v>
      </c>
      <c r="ET39" s="10">
        <v>38.707500000000003</v>
      </c>
      <c r="EU39" s="10">
        <v>0.94530999999999998</v>
      </c>
      <c r="EV39" s="10">
        <v>15.7188</v>
      </c>
      <c r="EW39" s="10">
        <v>83.615099999999998</v>
      </c>
      <c r="EX39" s="10">
        <v>0.19786000000000001</v>
      </c>
      <c r="EY39" s="10">
        <v>3.6541000000000001</v>
      </c>
      <c r="EZ39" s="10">
        <v>2.0592000000000001</v>
      </c>
      <c r="FA39" s="10">
        <v>3.9371</v>
      </c>
      <c r="FB39" s="10">
        <v>24.627600000000001</v>
      </c>
      <c r="FC39" s="10">
        <v>59.948799999999999</v>
      </c>
      <c r="FD39" s="10">
        <v>362.76130000000001</v>
      </c>
      <c r="FE39" s="10">
        <v>54.450800000000001</v>
      </c>
      <c r="FF39" s="10">
        <v>31.717099999999999</v>
      </c>
      <c r="FG39" s="10">
        <v>0.35608000000000001</v>
      </c>
      <c r="FH39" s="11"/>
      <c r="FI39" s="10">
        <v>127.0329</v>
      </c>
      <c r="FJ39" s="10">
        <v>1612.9283</v>
      </c>
      <c r="FK39" s="10">
        <v>0.45367000000000002</v>
      </c>
      <c r="FL39" s="10">
        <v>1.0992E-2</v>
      </c>
      <c r="FM39" s="10">
        <v>0.12823999999999999</v>
      </c>
      <c r="FN39" s="10">
        <v>0.30778</v>
      </c>
      <c r="FO39" s="10">
        <v>6.9615999999999997E-2</v>
      </c>
      <c r="FP39" s="10">
        <v>0.12823999999999999</v>
      </c>
      <c r="FQ39" s="10">
        <v>0.11724999999999999</v>
      </c>
      <c r="FR39" s="10">
        <v>4.7632000000000001E-2</v>
      </c>
      <c r="FS39" s="10">
        <v>234.71199999999999</v>
      </c>
      <c r="FT39" s="10">
        <v>3.4289999999999998</v>
      </c>
      <c r="FU39" s="10">
        <v>39.140799999999999</v>
      </c>
      <c r="FV39" s="10">
        <v>0.19786000000000001</v>
      </c>
      <c r="FW39" s="10">
        <v>0.24915000000000001</v>
      </c>
      <c r="FX39" s="10">
        <v>41.841799999999999</v>
      </c>
      <c r="FY39" s="10">
        <v>44.322400000000002</v>
      </c>
      <c r="FZ39" s="10">
        <v>15.254300000000001</v>
      </c>
      <c r="GA39" s="10">
        <v>0.19053</v>
      </c>
      <c r="GB39" s="10">
        <v>0.58789999999999998</v>
      </c>
      <c r="GC39" s="10">
        <v>361.64139999999998</v>
      </c>
      <c r="GD39" s="10">
        <v>373.99239999999998</v>
      </c>
      <c r="GE39" s="10">
        <v>267.41669999999999</v>
      </c>
      <c r="GF39" s="10">
        <v>5.8155000000000001</v>
      </c>
      <c r="GG39" s="10">
        <v>3.9028999999999998</v>
      </c>
      <c r="GH39" s="10">
        <v>2.06</v>
      </c>
      <c r="GI39" s="10">
        <v>1.0626</v>
      </c>
      <c r="GJ39" s="10">
        <v>59.366199999999999</v>
      </c>
      <c r="GK39" s="10">
        <v>43.412799999999997</v>
      </c>
      <c r="GL39" s="10">
        <v>41.200200000000002</v>
      </c>
      <c r="GM39" s="10">
        <v>165.6482</v>
      </c>
      <c r="GN39" s="10">
        <v>2.4428999999999998</v>
      </c>
      <c r="GO39" s="10">
        <v>2.4337</v>
      </c>
      <c r="GP39" s="10">
        <v>156.6361</v>
      </c>
      <c r="GQ39" s="11"/>
      <c r="GR39" s="10">
        <v>1.1747000000000001</v>
      </c>
      <c r="GS39" s="10">
        <v>9.5264000000000001E-2</v>
      </c>
      <c r="GT39" s="10">
        <v>16.4602</v>
      </c>
      <c r="GU39" s="10">
        <v>15.5488</v>
      </c>
      <c r="GV39" s="10">
        <v>180.90299999999999</v>
      </c>
      <c r="GW39" s="10">
        <v>33.932200000000002</v>
      </c>
      <c r="GX39" s="10">
        <v>4.7632000000000001E-2</v>
      </c>
      <c r="GY39" s="10">
        <v>7.3280000000000003E-3</v>
      </c>
      <c r="GZ39" s="10">
        <v>0.92647999999999997</v>
      </c>
      <c r="HA39" s="10">
        <v>389.8646</v>
      </c>
      <c r="HB39" s="10">
        <v>70.012699999999995</v>
      </c>
      <c r="HC39" s="10">
        <v>566.81129999999996</v>
      </c>
      <c r="HD39" s="10">
        <v>5438.9057000000003</v>
      </c>
      <c r="HE39" s="10">
        <v>4.5585000000000004</v>
      </c>
      <c r="HF39" s="10">
        <v>102.66370000000001</v>
      </c>
      <c r="HG39" s="10">
        <v>6.5951999999999997E-2</v>
      </c>
      <c r="HH39" s="10">
        <v>132.87469999999999</v>
      </c>
      <c r="HI39" s="10">
        <v>28.523499999999999</v>
      </c>
      <c r="HJ39" s="11"/>
      <c r="HK39" s="11"/>
      <c r="HL39" s="10">
        <v>10.3522</v>
      </c>
      <c r="HM39" s="10">
        <v>2.141</v>
      </c>
      <c r="HN39" s="10">
        <v>15.029400000000001</v>
      </c>
      <c r="HO39" s="10">
        <f t="shared" si="3"/>
        <v>22716.676614000004</v>
      </c>
      <c r="HP39" s="10">
        <f t="shared" si="4"/>
        <v>22.716676614000004</v>
      </c>
      <c r="HQ39" s="10">
        <f t="shared" si="5"/>
        <v>6.1948940861739858</v>
      </c>
      <c r="HR39" s="11"/>
      <c r="HS39" s="11"/>
      <c r="HT39" s="11"/>
      <c r="HU39" s="11"/>
      <c r="HV39" s="11"/>
      <c r="HW39" s="11"/>
    </row>
    <row r="40" spans="1:231" ht="19.95" customHeight="1">
      <c r="A40" s="8">
        <v>1996</v>
      </c>
      <c r="B40" s="9">
        <v>1.1649</v>
      </c>
      <c r="C40" s="10">
        <v>1.9932000000000001</v>
      </c>
      <c r="D40" s="10">
        <v>96.786100000000005</v>
      </c>
      <c r="E40" s="10">
        <v>0.45434000000000002</v>
      </c>
      <c r="F40" s="10">
        <v>10.424799999999999</v>
      </c>
      <c r="G40" s="10">
        <v>6.9615999999999997E-2</v>
      </c>
      <c r="H40" s="10">
        <v>0.23816000000000001</v>
      </c>
      <c r="I40" s="10">
        <v>134.7621</v>
      </c>
      <c r="J40" s="10">
        <v>2.5926999999999998</v>
      </c>
      <c r="K40" s="10">
        <v>0.72546999999999995</v>
      </c>
      <c r="L40" s="10">
        <v>312.36160000000001</v>
      </c>
      <c r="M40" s="10">
        <v>67.421599999999998</v>
      </c>
      <c r="N40" s="10">
        <v>31.242599999999999</v>
      </c>
      <c r="O40" s="10">
        <v>1.7294</v>
      </c>
      <c r="P40" s="10">
        <v>15.589600000000001</v>
      </c>
      <c r="Q40" s="10">
        <v>21.492100000000001</v>
      </c>
      <c r="R40" s="10">
        <v>0.82474000000000003</v>
      </c>
      <c r="S40" s="10">
        <v>58.214799999999997</v>
      </c>
      <c r="T40" s="10">
        <v>129.4966</v>
      </c>
      <c r="U40" s="10">
        <v>0.30778</v>
      </c>
      <c r="V40" s="10">
        <v>1.2311000000000001</v>
      </c>
      <c r="W40" s="10">
        <v>0.52761999999999998</v>
      </c>
      <c r="X40" s="10">
        <v>0.28519</v>
      </c>
      <c r="Y40" s="10">
        <v>9.7744999999999997</v>
      </c>
      <c r="Z40" s="10">
        <v>0.21965999999999999</v>
      </c>
      <c r="AA40" s="10">
        <v>4.2385000000000002</v>
      </c>
      <c r="AB40" s="10">
        <v>2.7553000000000001</v>
      </c>
      <c r="AC40" s="10">
        <v>281.19479999999999</v>
      </c>
      <c r="AD40" s="10">
        <v>0.11724999999999999</v>
      </c>
      <c r="AE40" s="10">
        <v>4.7412999999999998</v>
      </c>
      <c r="AF40" s="10">
        <v>58.107999999999997</v>
      </c>
      <c r="AG40" s="10">
        <v>0.70445999999999998</v>
      </c>
      <c r="AH40" s="10">
        <v>0.24182000000000001</v>
      </c>
      <c r="AI40" s="10">
        <v>1.5972</v>
      </c>
      <c r="AJ40" s="10">
        <v>3.5924</v>
      </c>
      <c r="AK40" s="10">
        <v>510.73669999999998</v>
      </c>
      <c r="AL40" s="10">
        <v>0.1429</v>
      </c>
      <c r="AM40" s="11"/>
      <c r="AN40" s="10">
        <v>0.23449999999999999</v>
      </c>
      <c r="AO40" s="10">
        <v>0.43602000000000002</v>
      </c>
      <c r="AP40" s="10">
        <v>47.628399999999999</v>
      </c>
      <c r="AQ40" s="10">
        <v>3408.3465999999999</v>
      </c>
      <c r="AR40" s="10">
        <v>59.770899999999997</v>
      </c>
      <c r="AS40" s="10">
        <v>7.6943999999999999E-2</v>
      </c>
      <c r="AT40" s="10">
        <v>1.34</v>
      </c>
      <c r="AU40" s="10">
        <v>4.7632000000000001E-2</v>
      </c>
      <c r="AV40" s="10">
        <v>4.6867000000000001</v>
      </c>
      <c r="AW40" s="10">
        <v>7.3353000000000002</v>
      </c>
      <c r="AX40" s="10">
        <v>17.5153</v>
      </c>
      <c r="AY40" s="10">
        <v>26.872499999999999</v>
      </c>
      <c r="AZ40" s="10">
        <v>4.1734999999999998</v>
      </c>
      <c r="BA40" s="10">
        <v>6.2332000000000001</v>
      </c>
      <c r="BB40" s="10">
        <v>134.96250000000001</v>
      </c>
      <c r="BC40" s="10">
        <v>2.3117999999999999</v>
      </c>
      <c r="BD40" s="10">
        <v>74.829899999999995</v>
      </c>
      <c r="BE40" s="10">
        <v>0.33341999999999999</v>
      </c>
      <c r="BF40" s="10">
        <v>7.3279999999999998E-2</v>
      </c>
      <c r="BG40" s="10">
        <v>17.197700000000001</v>
      </c>
      <c r="BH40" s="10">
        <v>24.025500000000001</v>
      </c>
      <c r="BI40" s="10">
        <v>93.567499999999995</v>
      </c>
      <c r="BJ40" s="10">
        <v>4.4146999999999998</v>
      </c>
      <c r="BK40" s="10">
        <v>0.12823999999999999</v>
      </c>
      <c r="BL40" s="10">
        <v>0.86067000000000005</v>
      </c>
      <c r="BM40" s="10">
        <v>18.759499999999999</v>
      </c>
      <c r="BN40" s="10">
        <v>2.7947000000000002</v>
      </c>
      <c r="BO40" s="10">
        <v>0.60089999999999999</v>
      </c>
      <c r="BP40" s="11"/>
      <c r="BQ40" s="10">
        <v>0.81316999999999995</v>
      </c>
      <c r="BR40" s="10">
        <v>64.062399999999997</v>
      </c>
      <c r="BS40" s="10">
        <v>413.19729999999998</v>
      </c>
      <c r="BT40" s="11"/>
      <c r="BU40" s="10">
        <v>0.43602000000000002</v>
      </c>
      <c r="BV40" s="10">
        <v>4.7537000000000003</v>
      </c>
      <c r="BW40" s="10">
        <v>0.21984000000000001</v>
      </c>
      <c r="BX40" s="10">
        <v>4.0551000000000004</v>
      </c>
      <c r="BY40" s="10">
        <v>959.1241</v>
      </c>
      <c r="BZ40" s="10">
        <v>5.4686000000000003</v>
      </c>
      <c r="CA40" s="11"/>
      <c r="CB40" s="10">
        <v>89.132000000000005</v>
      </c>
      <c r="CC40" s="10">
        <v>0.36274000000000001</v>
      </c>
      <c r="CD40" s="10">
        <v>0.15389</v>
      </c>
      <c r="CE40" s="11"/>
      <c r="CF40" s="10">
        <v>6.5702999999999996</v>
      </c>
      <c r="CG40" s="10">
        <v>1.2347999999999999</v>
      </c>
      <c r="CH40" s="10">
        <v>0.1832</v>
      </c>
      <c r="CI40" s="10">
        <v>1.6560999999999999</v>
      </c>
      <c r="CJ40" s="10">
        <v>1.0185999999999999</v>
      </c>
      <c r="CK40" s="10">
        <v>3.8393999999999999</v>
      </c>
      <c r="CL40" s="10">
        <v>28.909600000000001</v>
      </c>
      <c r="CM40" s="10">
        <v>63.2575</v>
      </c>
      <c r="CN40" s="10">
        <v>2.532</v>
      </c>
      <c r="CO40" s="10">
        <v>826.14679999999998</v>
      </c>
      <c r="CP40" s="10">
        <v>255.06880000000001</v>
      </c>
      <c r="CQ40" s="10">
        <v>274.00779999999997</v>
      </c>
      <c r="CR40" s="10">
        <v>69.284400000000005</v>
      </c>
      <c r="CS40" s="10">
        <v>37.469099999999997</v>
      </c>
      <c r="CT40" s="10">
        <v>51.9358</v>
      </c>
      <c r="CU40" s="10">
        <v>442.2774</v>
      </c>
      <c r="CV40" s="10">
        <v>9.6875999999999998</v>
      </c>
      <c r="CW40" s="10">
        <v>1251.8676</v>
      </c>
      <c r="CX40" s="10">
        <v>13.8264</v>
      </c>
      <c r="CY40" s="10">
        <v>163.5438</v>
      </c>
      <c r="CZ40" s="10">
        <v>9.1549999999999994</v>
      </c>
      <c r="DA40" s="10">
        <v>2.9312000000000001E-2</v>
      </c>
      <c r="DB40" s="11"/>
      <c r="DC40" s="10">
        <v>49.913600000000002</v>
      </c>
      <c r="DD40" s="10">
        <v>5.6642000000000001</v>
      </c>
      <c r="DE40" s="10">
        <v>0.75090000000000001</v>
      </c>
      <c r="DF40" s="10">
        <v>9.1702999999999992</v>
      </c>
      <c r="DG40" s="10">
        <v>12.752700000000001</v>
      </c>
      <c r="DH40" s="10">
        <v>1.7366999999999999</v>
      </c>
      <c r="DI40" s="10">
        <v>0.43467</v>
      </c>
      <c r="DJ40" s="10">
        <v>43.796799999999998</v>
      </c>
      <c r="DK40" s="10">
        <v>0.20596</v>
      </c>
      <c r="DL40" s="10">
        <v>15.7576</v>
      </c>
      <c r="DM40" s="10">
        <v>9.2199000000000009</v>
      </c>
      <c r="DN40" s="10">
        <v>1.407</v>
      </c>
      <c r="DO40" s="10">
        <v>1.3406</v>
      </c>
      <c r="DP40" s="10">
        <v>0.90425999999999995</v>
      </c>
      <c r="DQ40" s="10">
        <v>112.8995</v>
      </c>
      <c r="DR40" s="10">
        <v>0.28946</v>
      </c>
      <c r="DS40" s="10">
        <v>0.49329000000000001</v>
      </c>
      <c r="DT40" s="10">
        <v>2.5783999999999998</v>
      </c>
      <c r="DU40" s="10">
        <v>8.7936E-2</v>
      </c>
      <c r="DV40" s="11"/>
      <c r="DW40" s="10">
        <v>1.0626</v>
      </c>
      <c r="DX40" s="10">
        <v>1.9492</v>
      </c>
      <c r="DY40" s="10">
        <v>345.76609999999999</v>
      </c>
      <c r="DZ40" s="10">
        <v>0.11358</v>
      </c>
      <c r="EA40" s="10">
        <v>11.687099999999999</v>
      </c>
      <c r="EB40" s="10">
        <v>8.0233000000000008</v>
      </c>
      <c r="EC40" s="10">
        <v>1.5529999999999999</v>
      </c>
      <c r="ED40" s="10">
        <v>3.6639999999999999E-2</v>
      </c>
      <c r="EE40" s="10">
        <v>29.926400000000001</v>
      </c>
      <c r="EF40" s="10">
        <v>1.0904</v>
      </c>
      <c r="EG40" s="10">
        <v>7.2035999999999998</v>
      </c>
      <c r="EH40" s="10">
        <v>1.7221</v>
      </c>
      <c r="EI40" s="10">
        <v>0.10259</v>
      </c>
      <c r="EJ40" s="10">
        <v>2.4552999999999998</v>
      </c>
      <c r="EK40" s="10">
        <v>182.14830000000001</v>
      </c>
      <c r="EL40" s="10">
        <v>2.1850999999999998</v>
      </c>
      <c r="EM40" s="10">
        <v>29.295100000000001</v>
      </c>
      <c r="EN40" s="10">
        <v>2.8473999999999999</v>
      </c>
      <c r="EO40" s="10">
        <v>0.64217000000000002</v>
      </c>
      <c r="EP40" s="10">
        <v>36.788200000000003</v>
      </c>
      <c r="EQ40" s="10">
        <v>7.3280000000000003E-3</v>
      </c>
      <c r="ER40" s="10">
        <v>71.637900000000002</v>
      </c>
      <c r="ES40" s="10">
        <v>11.6845</v>
      </c>
      <c r="ET40" s="10">
        <v>41.830300000000001</v>
      </c>
      <c r="EU40" s="10">
        <v>1.0368999999999999</v>
      </c>
      <c r="EV40" s="10">
        <v>14.8827</v>
      </c>
      <c r="EW40" s="10">
        <v>93.537400000000005</v>
      </c>
      <c r="EX40" s="10">
        <v>0.19786000000000001</v>
      </c>
      <c r="EY40" s="10">
        <v>4.4467999999999996</v>
      </c>
      <c r="EZ40" s="10">
        <v>2.1873999999999998</v>
      </c>
      <c r="FA40" s="10">
        <v>3.7187999999999999</v>
      </c>
      <c r="FB40" s="10">
        <v>24.184000000000001</v>
      </c>
      <c r="FC40" s="10">
        <v>61.253700000000002</v>
      </c>
      <c r="FD40" s="10">
        <v>377.40780000000001</v>
      </c>
      <c r="FE40" s="10">
        <v>51.703200000000002</v>
      </c>
      <c r="FF40" s="10">
        <v>32.203800000000001</v>
      </c>
      <c r="FG40" s="10">
        <v>0.36736999999999997</v>
      </c>
      <c r="FH40" s="11"/>
      <c r="FI40" s="10">
        <v>130.0959</v>
      </c>
      <c r="FJ40" s="10">
        <v>1580.1608000000001</v>
      </c>
      <c r="FK40" s="10">
        <v>0.46486</v>
      </c>
      <c r="FL40" s="10">
        <v>1.0992E-2</v>
      </c>
      <c r="FM40" s="10">
        <v>0.13189999999999999</v>
      </c>
      <c r="FN40" s="10">
        <v>0.32242999999999999</v>
      </c>
      <c r="FO40" s="10">
        <v>6.9615999999999997E-2</v>
      </c>
      <c r="FP40" s="10">
        <v>0.13189999999999999</v>
      </c>
      <c r="FQ40" s="10">
        <v>0.12458</v>
      </c>
      <c r="FR40" s="10">
        <v>4.7632000000000001E-2</v>
      </c>
      <c r="FS40" s="10">
        <v>258.2636</v>
      </c>
      <c r="FT40" s="10">
        <v>3.6631999999999998</v>
      </c>
      <c r="FU40" s="10">
        <v>45.8247</v>
      </c>
      <c r="FV40" s="10">
        <v>0.23449999999999999</v>
      </c>
      <c r="FW40" s="10">
        <v>0.29311999999999999</v>
      </c>
      <c r="FX40" s="10">
        <v>49.349200000000003</v>
      </c>
      <c r="FY40" s="10">
        <v>44.186100000000003</v>
      </c>
      <c r="FZ40" s="10">
        <v>15.916600000000001</v>
      </c>
      <c r="GA40" s="10">
        <v>0.19786000000000001</v>
      </c>
      <c r="GB40" s="10">
        <v>0.56791999999999998</v>
      </c>
      <c r="GC40" s="10">
        <v>363.67309999999998</v>
      </c>
      <c r="GD40" s="10">
        <v>401.52960000000002</v>
      </c>
      <c r="GE40" s="10">
        <v>254.7953</v>
      </c>
      <c r="GF40" s="10">
        <v>6.9701000000000004</v>
      </c>
      <c r="GG40" s="10">
        <v>4.0275999999999996</v>
      </c>
      <c r="GH40" s="10">
        <v>2.0819999999999999</v>
      </c>
      <c r="GI40" s="10">
        <v>0.79142000000000001</v>
      </c>
      <c r="GJ40" s="10">
        <v>63.302799999999998</v>
      </c>
      <c r="GK40" s="10">
        <v>44.098799999999997</v>
      </c>
      <c r="GL40" s="10">
        <v>42.322299999999998</v>
      </c>
      <c r="GM40" s="10">
        <v>173.72839999999999</v>
      </c>
      <c r="GN40" s="10">
        <v>2.8224999999999998</v>
      </c>
      <c r="GO40" s="10">
        <v>2.5274999999999999</v>
      </c>
      <c r="GP40" s="10">
        <v>173.7286</v>
      </c>
      <c r="GQ40" s="11"/>
      <c r="GR40" s="10">
        <v>1.2652000000000001</v>
      </c>
      <c r="GS40" s="10">
        <v>7.6943999999999999E-2</v>
      </c>
      <c r="GT40" s="10">
        <v>20.7683</v>
      </c>
      <c r="GU40" s="10">
        <v>16.5808</v>
      </c>
      <c r="GV40" s="10">
        <v>199.52189999999999</v>
      </c>
      <c r="GW40" s="10">
        <v>30.6037</v>
      </c>
      <c r="GX40" s="10">
        <v>4.7632000000000001E-2</v>
      </c>
      <c r="GY40" s="10">
        <v>7.3280000000000003E-3</v>
      </c>
      <c r="GZ40" s="10">
        <v>1.0179</v>
      </c>
      <c r="HA40" s="10">
        <v>351.40879999999999</v>
      </c>
      <c r="HB40" s="10">
        <v>72.774799999999999</v>
      </c>
      <c r="HC40" s="10">
        <v>588.44420000000002</v>
      </c>
      <c r="HD40" s="10">
        <v>5626.9119000000001</v>
      </c>
      <c r="HE40" s="10">
        <v>5.4043999999999999</v>
      </c>
      <c r="HF40" s="10">
        <v>105.54600000000001</v>
      </c>
      <c r="HG40" s="10">
        <v>8.4272E-2</v>
      </c>
      <c r="HH40" s="10">
        <v>122.3396</v>
      </c>
      <c r="HI40" s="10">
        <v>34.0229</v>
      </c>
      <c r="HJ40" s="11"/>
      <c r="HK40" s="11"/>
      <c r="HL40" s="10">
        <v>10.526899999999999</v>
      </c>
      <c r="HM40" s="10">
        <v>1.837</v>
      </c>
      <c r="HN40" s="10">
        <v>14.890599999999999</v>
      </c>
      <c r="HO40" s="10">
        <f t="shared" si="3"/>
        <v>23381.767103999995</v>
      </c>
      <c r="HP40" s="10">
        <f t="shared" si="4"/>
        <v>23.381767103999994</v>
      </c>
      <c r="HQ40" s="10">
        <f t="shared" si="5"/>
        <v>6.3762659132806094</v>
      </c>
      <c r="HR40" s="11"/>
      <c r="HS40" s="11"/>
      <c r="HT40" s="11"/>
      <c r="HU40" s="11"/>
      <c r="HV40" s="11"/>
      <c r="HW40" s="11"/>
    </row>
    <row r="41" spans="1:231" ht="19.95" customHeight="1">
      <c r="A41" s="8">
        <v>1997</v>
      </c>
      <c r="B41" s="9">
        <v>1.0841000000000001</v>
      </c>
      <c r="C41" s="10">
        <v>1.5316000000000001</v>
      </c>
      <c r="D41" s="10">
        <v>87.004300000000001</v>
      </c>
      <c r="E41" s="10">
        <v>0.46533000000000002</v>
      </c>
      <c r="F41" s="10">
        <v>7.3478000000000003</v>
      </c>
      <c r="G41" s="10">
        <v>6.9615999999999997E-2</v>
      </c>
      <c r="H41" s="10">
        <v>0.25647999999999999</v>
      </c>
      <c r="I41" s="10">
        <v>137.64150000000001</v>
      </c>
      <c r="J41" s="10">
        <v>3.2662</v>
      </c>
      <c r="K41" s="10">
        <v>0.75844999999999996</v>
      </c>
      <c r="L41" s="10">
        <v>320.79509999999999</v>
      </c>
      <c r="M41" s="10">
        <v>67.232799999999997</v>
      </c>
      <c r="N41" s="10">
        <v>29.8049</v>
      </c>
      <c r="O41" s="10">
        <v>1.5279</v>
      </c>
      <c r="P41" s="10">
        <v>17.287700000000001</v>
      </c>
      <c r="Q41" s="10">
        <v>23.126200000000001</v>
      </c>
      <c r="R41" s="10">
        <v>0.89093999999999995</v>
      </c>
      <c r="S41" s="10">
        <v>58.720599999999997</v>
      </c>
      <c r="T41" s="10">
        <v>124.0018</v>
      </c>
      <c r="U41" s="10">
        <v>0.38838</v>
      </c>
      <c r="V41" s="10">
        <v>1.1981999999999999</v>
      </c>
      <c r="W41" s="10">
        <v>0.52395000000000003</v>
      </c>
      <c r="X41" s="10">
        <v>0.37674999999999997</v>
      </c>
      <c r="Y41" s="10">
        <v>10.883100000000001</v>
      </c>
      <c r="Z41" s="10">
        <v>0.22986999999999999</v>
      </c>
      <c r="AA41" s="10">
        <v>8.3652999999999995</v>
      </c>
      <c r="AB41" s="10">
        <v>2.7993000000000001</v>
      </c>
      <c r="AC41" s="10">
        <v>296.58539999999999</v>
      </c>
      <c r="AD41" s="10">
        <v>0.11724999999999999</v>
      </c>
      <c r="AE41" s="10">
        <v>4.9317000000000002</v>
      </c>
      <c r="AF41" s="10">
        <v>55.8613</v>
      </c>
      <c r="AG41" s="10">
        <v>0.80269000000000001</v>
      </c>
      <c r="AH41" s="10">
        <v>0.24915000000000001</v>
      </c>
      <c r="AI41" s="10">
        <v>1.5250999999999999</v>
      </c>
      <c r="AJ41" s="10">
        <v>3.1564000000000001</v>
      </c>
      <c r="AK41" s="10">
        <v>524.78920000000005</v>
      </c>
      <c r="AL41" s="10">
        <v>0.14656</v>
      </c>
      <c r="AM41" s="11"/>
      <c r="AN41" s="10">
        <v>0.24549000000000001</v>
      </c>
      <c r="AO41" s="10">
        <v>0.45067000000000002</v>
      </c>
      <c r="AP41" s="10">
        <v>55.450200000000002</v>
      </c>
      <c r="AQ41" s="10">
        <v>3414.5493000000001</v>
      </c>
      <c r="AR41" s="10">
        <v>64.496499999999997</v>
      </c>
      <c r="AS41" s="10">
        <v>8.0607999999999999E-2</v>
      </c>
      <c r="AT41" s="10">
        <v>1.9216</v>
      </c>
      <c r="AU41" s="10">
        <v>4.7632000000000001E-2</v>
      </c>
      <c r="AV41" s="10">
        <v>4.9166999999999996</v>
      </c>
      <c r="AW41" s="10">
        <v>7.0126999999999997</v>
      </c>
      <c r="AX41" s="10">
        <v>18.575900000000001</v>
      </c>
      <c r="AY41" s="10">
        <v>24.5091</v>
      </c>
      <c r="AZ41" s="10">
        <v>4.3676000000000004</v>
      </c>
      <c r="BA41" s="10">
        <v>6.3209999999999997</v>
      </c>
      <c r="BB41" s="10">
        <v>130.73310000000001</v>
      </c>
      <c r="BC41" s="10">
        <v>1.8754</v>
      </c>
      <c r="BD41" s="10">
        <v>65.429599999999994</v>
      </c>
      <c r="BE41" s="10">
        <v>0.34808</v>
      </c>
      <c r="BF41" s="10">
        <v>8.0607999999999999E-2</v>
      </c>
      <c r="BG41" s="10">
        <v>17.904599999999999</v>
      </c>
      <c r="BH41" s="10">
        <v>18.205100000000002</v>
      </c>
      <c r="BI41" s="10">
        <v>107.512</v>
      </c>
      <c r="BJ41" s="10">
        <v>5.4165999999999999</v>
      </c>
      <c r="BK41" s="10">
        <v>0.30410999999999999</v>
      </c>
      <c r="BL41" s="10">
        <v>0.76768000000000003</v>
      </c>
      <c r="BM41" s="10">
        <v>18.317299999999999</v>
      </c>
      <c r="BN41" s="10">
        <v>2.9792999999999998</v>
      </c>
      <c r="BO41" s="10">
        <v>0.58989999999999998</v>
      </c>
      <c r="BP41" s="11"/>
      <c r="BQ41" s="10">
        <v>0.78246000000000004</v>
      </c>
      <c r="BR41" s="10">
        <v>62.722999999999999</v>
      </c>
      <c r="BS41" s="10">
        <v>406.18740000000003</v>
      </c>
      <c r="BT41" s="11"/>
      <c r="BU41" s="10">
        <v>0.45434000000000002</v>
      </c>
      <c r="BV41" s="10">
        <v>4.7742000000000004</v>
      </c>
      <c r="BW41" s="10">
        <v>0.2235</v>
      </c>
      <c r="BX41" s="10">
        <v>4.4250999999999996</v>
      </c>
      <c r="BY41" s="10">
        <v>931.23009999999999</v>
      </c>
      <c r="BZ41" s="10">
        <v>6.2042000000000002</v>
      </c>
      <c r="CA41" s="11"/>
      <c r="CB41" s="10">
        <v>93.820899999999995</v>
      </c>
      <c r="CC41" s="10">
        <v>0.38472000000000001</v>
      </c>
      <c r="CD41" s="10">
        <v>0.16854</v>
      </c>
      <c r="CE41" s="11"/>
      <c r="CF41" s="10">
        <v>7.5015999999999998</v>
      </c>
      <c r="CG41" s="10">
        <v>1.2897000000000001</v>
      </c>
      <c r="CH41" s="10">
        <v>0.20152</v>
      </c>
      <c r="CI41" s="10">
        <v>1.8064</v>
      </c>
      <c r="CJ41" s="10">
        <v>1.3484</v>
      </c>
      <c r="CK41" s="10">
        <v>3.9754999999999998</v>
      </c>
      <c r="CL41" s="10">
        <v>30.497499999999999</v>
      </c>
      <c r="CM41" s="10">
        <v>61.813099999999999</v>
      </c>
      <c r="CN41" s="10">
        <v>2.6274999999999999</v>
      </c>
      <c r="CO41" s="10">
        <v>859.92470000000003</v>
      </c>
      <c r="CP41" s="10">
        <v>280.73630000000003</v>
      </c>
      <c r="CQ41" s="10">
        <v>267.09930000000003</v>
      </c>
      <c r="CR41" s="10">
        <v>68.078800000000001</v>
      </c>
      <c r="CS41" s="10">
        <v>38.805199999999999</v>
      </c>
      <c r="CT41" s="10">
        <v>54.863900000000001</v>
      </c>
      <c r="CU41" s="10">
        <v>448.04489999999998</v>
      </c>
      <c r="CV41" s="10">
        <v>10.068199999999999</v>
      </c>
      <c r="CW41" s="10">
        <v>1245.1120000000001</v>
      </c>
      <c r="CX41" s="10">
        <v>14.073600000000001</v>
      </c>
      <c r="CY41" s="10">
        <v>155.57220000000001</v>
      </c>
      <c r="CZ41" s="10">
        <v>8.1197999999999997</v>
      </c>
      <c r="DA41" s="10">
        <v>2.9312000000000001E-2</v>
      </c>
      <c r="DB41" s="11"/>
      <c r="DC41" s="10">
        <v>54.6706</v>
      </c>
      <c r="DD41" s="10">
        <v>5.5730000000000004</v>
      </c>
      <c r="DE41" s="10">
        <v>0.79115000000000002</v>
      </c>
      <c r="DF41" s="10">
        <v>8.6460000000000008</v>
      </c>
      <c r="DG41" s="10">
        <v>15.099399999999999</v>
      </c>
      <c r="DH41" s="10">
        <v>1.7697000000000001</v>
      </c>
      <c r="DI41" s="10">
        <v>0.45366000000000001</v>
      </c>
      <c r="DJ41" s="10">
        <v>44.706499999999998</v>
      </c>
      <c r="DK41" s="10">
        <v>0.21837000000000001</v>
      </c>
      <c r="DL41" s="10">
        <v>15.1822</v>
      </c>
      <c r="DM41" s="10">
        <v>8.5731000000000002</v>
      </c>
      <c r="DN41" s="10">
        <v>1.4876</v>
      </c>
      <c r="DO41" s="10">
        <v>1.6234</v>
      </c>
      <c r="DP41" s="10">
        <v>0.94737000000000005</v>
      </c>
      <c r="DQ41" s="10">
        <v>120.81699999999999</v>
      </c>
      <c r="DR41" s="10">
        <v>0.32976</v>
      </c>
      <c r="DS41" s="10">
        <v>0.52856999999999998</v>
      </c>
      <c r="DT41" s="10">
        <v>2.5861999999999998</v>
      </c>
      <c r="DU41" s="10">
        <v>8.7936E-2</v>
      </c>
      <c r="DV41" s="11"/>
      <c r="DW41" s="10">
        <v>1.0771999999999999</v>
      </c>
      <c r="DX41" s="10">
        <v>1.9968999999999999</v>
      </c>
      <c r="DY41" s="10">
        <v>368.64479999999998</v>
      </c>
      <c r="DZ41" s="10">
        <v>0.12091</v>
      </c>
      <c r="EA41" s="10">
        <v>7.3013000000000003</v>
      </c>
      <c r="EB41" s="10">
        <v>7.6883999999999997</v>
      </c>
      <c r="EC41" s="10">
        <v>1.6698</v>
      </c>
      <c r="ED41" s="10">
        <v>3.2975999999999998E-2</v>
      </c>
      <c r="EE41" s="10">
        <v>30.398299999999999</v>
      </c>
      <c r="EF41" s="10">
        <v>1.1705000000000001</v>
      </c>
      <c r="EG41" s="10">
        <v>7.4444999999999997</v>
      </c>
      <c r="EH41" s="10">
        <v>1.7697000000000001</v>
      </c>
      <c r="EI41" s="10">
        <v>0.10259</v>
      </c>
      <c r="EJ41" s="10">
        <v>2.7595000000000001</v>
      </c>
      <c r="EK41" s="10">
        <v>175.0196</v>
      </c>
      <c r="EL41" s="10">
        <v>1.8187</v>
      </c>
      <c r="EM41" s="10">
        <v>31.289300000000001</v>
      </c>
      <c r="EN41" s="10">
        <v>3.1135999999999999</v>
      </c>
      <c r="EO41" s="10">
        <v>0.64581999999999995</v>
      </c>
      <c r="EP41" s="10">
        <v>41.009599999999999</v>
      </c>
      <c r="EQ41" s="10">
        <v>7.3280000000000003E-3</v>
      </c>
      <c r="ER41" s="10">
        <v>65.158299999999997</v>
      </c>
      <c r="ES41" s="10">
        <v>10.577999999999999</v>
      </c>
      <c r="ET41" s="10">
        <v>41.97</v>
      </c>
      <c r="EU41" s="10">
        <v>0.86470000000000002</v>
      </c>
      <c r="EV41" s="10">
        <v>15.248100000000001</v>
      </c>
      <c r="EW41" s="10">
        <v>93.787599999999998</v>
      </c>
      <c r="EX41" s="10">
        <v>0.19786000000000001</v>
      </c>
      <c r="EY41" s="10">
        <v>4.6295999999999999</v>
      </c>
      <c r="EZ41" s="10">
        <v>2.5758000000000001</v>
      </c>
      <c r="FA41" s="10">
        <v>4.1280000000000001</v>
      </c>
      <c r="FB41" s="10">
        <v>27.2456</v>
      </c>
      <c r="FC41" s="10">
        <v>70.062600000000003</v>
      </c>
      <c r="FD41" s="10">
        <v>367.38529999999997</v>
      </c>
      <c r="FE41" s="10">
        <v>54.5976</v>
      </c>
      <c r="FF41" s="10">
        <v>37.393500000000003</v>
      </c>
      <c r="FG41" s="10">
        <v>0.44974999999999998</v>
      </c>
      <c r="FH41" s="11"/>
      <c r="FI41" s="10">
        <v>121.07470000000001</v>
      </c>
      <c r="FJ41" s="10">
        <v>1475.1572000000001</v>
      </c>
      <c r="FK41" s="10">
        <v>0.48159999999999997</v>
      </c>
      <c r="FL41" s="10">
        <v>1.0992E-2</v>
      </c>
      <c r="FM41" s="10">
        <v>0.1429</v>
      </c>
      <c r="FN41" s="10">
        <v>0.30410999999999999</v>
      </c>
      <c r="FO41" s="10">
        <v>4.7632000000000001E-2</v>
      </c>
      <c r="FP41" s="10">
        <v>0.13189999999999999</v>
      </c>
      <c r="FQ41" s="10">
        <v>0.12823999999999999</v>
      </c>
      <c r="FR41" s="10">
        <v>4.7632000000000001E-2</v>
      </c>
      <c r="FS41" s="10">
        <v>215.79669999999999</v>
      </c>
      <c r="FT41" s="10">
        <v>3.1823000000000001</v>
      </c>
      <c r="FU41" s="10">
        <v>49.264600000000002</v>
      </c>
      <c r="FV41" s="10">
        <v>0.34075</v>
      </c>
      <c r="FW41" s="10">
        <v>0.2235</v>
      </c>
      <c r="FX41" s="10">
        <v>58.071800000000003</v>
      </c>
      <c r="FY41" s="10">
        <v>44.313699999999997</v>
      </c>
      <c r="FZ41" s="10">
        <v>16.244900000000001</v>
      </c>
      <c r="GA41" s="10">
        <v>0.20518</v>
      </c>
      <c r="GB41" s="10">
        <v>0.53861000000000003</v>
      </c>
      <c r="GC41" s="10">
        <v>385.45830000000001</v>
      </c>
      <c r="GD41" s="10">
        <v>427.78609999999998</v>
      </c>
      <c r="GE41" s="10">
        <v>267.3064</v>
      </c>
      <c r="GF41" s="10">
        <v>7.5195999999999996</v>
      </c>
      <c r="GG41" s="10">
        <v>4.9400000000000004</v>
      </c>
      <c r="GH41" s="10">
        <v>2.1038999999999999</v>
      </c>
      <c r="GI41" s="10">
        <v>1.1468</v>
      </c>
      <c r="GJ41" s="10">
        <v>58.212600000000002</v>
      </c>
      <c r="GK41" s="10">
        <v>43.037300000000002</v>
      </c>
      <c r="GL41" s="10">
        <v>45.377200000000002</v>
      </c>
      <c r="GM41" s="10">
        <v>186.93620000000001</v>
      </c>
      <c r="GN41" s="10">
        <v>2.1488999999999998</v>
      </c>
      <c r="GO41" s="10">
        <v>2.823</v>
      </c>
      <c r="GP41" s="10">
        <v>179.05950000000001</v>
      </c>
      <c r="GQ41" s="11"/>
      <c r="GR41" s="10">
        <v>0.87899000000000005</v>
      </c>
      <c r="GS41" s="10">
        <v>9.8928000000000002E-2</v>
      </c>
      <c r="GT41" s="10">
        <v>20.560199999999998</v>
      </c>
      <c r="GU41" s="10">
        <v>16.747800000000002</v>
      </c>
      <c r="GV41" s="10">
        <v>212.00559999999999</v>
      </c>
      <c r="GW41" s="10">
        <v>30.555900000000001</v>
      </c>
      <c r="GX41" s="10">
        <v>5.4960000000000002E-2</v>
      </c>
      <c r="GY41" s="10">
        <v>7.3280000000000003E-3</v>
      </c>
      <c r="GZ41" s="10">
        <v>1.0607</v>
      </c>
      <c r="HA41" s="10">
        <v>340.24270000000001</v>
      </c>
      <c r="HB41" s="10">
        <v>73.100700000000003</v>
      </c>
      <c r="HC41" s="10">
        <v>562.56129999999996</v>
      </c>
      <c r="HD41" s="10">
        <v>5703.7070000000003</v>
      </c>
      <c r="HE41" s="10">
        <v>5.5132000000000003</v>
      </c>
      <c r="HF41" s="10">
        <v>106.6296</v>
      </c>
      <c r="HG41" s="10">
        <v>8.4272E-2</v>
      </c>
      <c r="HH41" s="10">
        <v>133.48349999999999</v>
      </c>
      <c r="HI41" s="10">
        <v>44.309199999999997</v>
      </c>
      <c r="HJ41" s="11"/>
      <c r="HK41" s="11"/>
      <c r="HL41" s="10">
        <v>11.316000000000001</v>
      </c>
      <c r="HM41" s="10">
        <v>2.3536999999999999</v>
      </c>
      <c r="HN41" s="10">
        <v>14.2942</v>
      </c>
      <c r="HO41" s="10">
        <f t="shared" si="3"/>
        <v>23486.694859999992</v>
      </c>
      <c r="HP41" s="10">
        <f t="shared" si="4"/>
        <v>23.486694859999993</v>
      </c>
      <c r="HQ41" s="10">
        <f t="shared" si="5"/>
        <v>6.4048799727297503</v>
      </c>
      <c r="HR41" s="11"/>
      <c r="HS41" s="11"/>
      <c r="HT41" s="11"/>
      <c r="HU41" s="11"/>
      <c r="HV41" s="11"/>
      <c r="HW41" s="11"/>
    </row>
    <row r="42" spans="1:231" ht="19.95" customHeight="1">
      <c r="A42" s="8">
        <v>1998</v>
      </c>
      <c r="B42" s="9">
        <v>1.0291999999999999</v>
      </c>
      <c r="C42" s="10">
        <v>1.7441</v>
      </c>
      <c r="D42" s="10">
        <v>106.6208</v>
      </c>
      <c r="E42" s="10">
        <v>0.49098000000000003</v>
      </c>
      <c r="F42" s="10">
        <v>7.2695999999999996</v>
      </c>
      <c r="G42" s="10">
        <v>7.6943999999999999E-2</v>
      </c>
      <c r="H42" s="10">
        <v>0.27113999999999999</v>
      </c>
      <c r="I42" s="10">
        <v>139.45189999999999</v>
      </c>
      <c r="J42" s="10">
        <v>3.3965999999999998</v>
      </c>
      <c r="K42" s="10">
        <v>0.80608000000000002</v>
      </c>
      <c r="L42" s="10">
        <v>334.68450000000001</v>
      </c>
      <c r="M42" s="10">
        <v>66.875100000000003</v>
      </c>
      <c r="N42" s="10">
        <v>31.665500000000002</v>
      </c>
      <c r="O42" s="10">
        <v>1.9089</v>
      </c>
      <c r="P42" s="10">
        <v>18.365500000000001</v>
      </c>
      <c r="Q42" s="10">
        <v>23.1983</v>
      </c>
      <c r="R42" s="10">
        <v>1.1001000000000001</v>
      </c>
      <c r="S42" s="10">
        <v>57.372500000000002</v>
      </c>
      <c r="T42" s="10">
        <v>130.22710000000001</v>
      </c>
      <c r="U42" s="10">
        <v>0.37006</v>
      </c>
      <c r="V42" s="10">
        <v>1.1943999999999999</v>
      </c>
      <c r="W42" s="10">
        <v>0.52029000000000003</v>
      </c>
      <c r="X42" s="10">
        <v>0.36715999999999999</v>
      </c>
      <c r="Y42" s="10">
        <v>10.9238</v>
      </c>
      <c r="Z42" s="10">
        <v>1.2688E-2</v>
      </c>
      <c r="AA42" s="10">
        <v>10.551299999999999</v>
      </c>
      <c r="AB42" s="10">
        <v>3.3416000000000001</v>
      </c>
      <c r="AC42" s="10">
        <v>308.30549999999999</v>
      </c>
      <c r="AD42" s="10">
        <v>0.12091</v>
      </c>
      <c r="AE42" s="10">
        <v>5.1589</v>
      </c>
      <c r="AF42" s="10">
        <v>53.275199999999998</v>
      </c>
      <c r="AG42" s="10">
        <v>0.85763</v>
      </c>
      <c r="AH42" s="10">
        <v>0.24915000000000001</v>
      </c>
      <c r="AI42" s="10">
        <v>1.9354</v>
      </c>
      <c r="AJ42" s="10">
        <v>3.1371000000000002</v>
      </c>
      <c r="AK42" s="10">
        <v>533.63980000000004</v>
      </c>
      <c r="AL42" s="10">
        <v>0.15755</v>
      </c>
      <c r="AM42" s="11"/>
      <c r="AN42" s="10">
        <v>0.24915000000000001</v>
      </c>
      <c r="AO42" s="10">
        <v>0.46166000000000001</v>
      </c>
      <c r="AP42" s="10">
        <v>56.807299999999998</v>
      </c>
      <c r="AQ42" s="10">
        <v>3265.9025999999999</v>
      </c>
      <c r="AR42" s="10">
        <v>65.157700000000006</v>
      </c>
      <c r="AS42" s="10">
        <v>8.7936E-2</v>
      </c>
      <c r="AT42" s="10">
        <v>0.35541</v>
      </c>
      <c r="AU42" s="10">
        <v>4.7632000000000001E-2</v>
      </c>
      <c r="AV42" s="10">
        <v>5.2355</v>
      </c>
      <c r="AW42" s="10">
        <v>6.5842000000000001</v>
      </c>
      <c r="AX42" s="10">
        <v>19.2789</v>
      </c>
      <c r="AY42" s="10">
        <v>24.357399999999998</v>
      </c>
      <c r="AZ42" s="10">
        <v>0.24107999999999999</v>
      </c>
      <c r="BA42" s="10">
        <v>6.6146000000000003</v>
      </c>
      <c r="BB42" s="10">
        <v>125.3177</v>
      </c>
      <c r="BC42" s="10">
        <v>1.6548</v>
      </c>
      <c r="BD42" s="10">
        <v>61.1995</v>
      </c>
      <c r="BE42" s="10">
        <v>0.34075</v>
      </c>
      <c r="BF42" s="10">
        <v>7.6943999999999999E-2</v>
      </c>
      <c r="BG42" s="10">
        <v>18.2485</v>
      </c>
      <c r="BH42" s="10">
        <v>22.314699999999998</v>
      </c>
      <c r="BI42" s="10">
        <v>121.4653</v>
      </c>
      <c r="BJ42" s="10">
        <v>5.7317</v>
      </c>
      <c r="BK42" s="10">
        <v>0.2235</v>
      </c>
      <c r="BL42" s="10">
        <v>0.58581000000000005</v>
      </c>
      <c r="BM42" s="10">
        <v>16.8172</v>
      </c>
      <c r="BN42" s="10">
        <v>3.1474000000000002</v>
      </c>
      <c r="BO42" s="10">
        <v>0.62287999999999999</v>
      </c>
      <c r="BP42" s="11"/>
      <c r="BQ42" s="10">
        <v>0.76107999999999998</v>
      </c>
      <c r="BR42" s="10">
        <v>59.3733</v>
      </c>
      <c r="BS42" s="10">
        <v>425.46499999999997</v>
      </c>
      <c r="BT42" s="11"/>
      <c r="BU42" s="10">
        <v>0.45067000000000002</v>
      </c>
      <c r="BV42" s="10">
        <v>4.9573</v>
      </c>
      <c r="BW42" s="10">
        <v>0.24182000000000001</v>
      </c>
      <c r="BX42" s="10">
        <v>4.9386000000000001</v>
      </c>
      <c r="BY42" s="10">
        <v>923.27589999999998</v>
      </c>
      <c r="BZ42" s="10">
        <v>6.2458999999999998</v>
      </c>
      <c r="CA42" s="11"/>
      <c r="CB42" s="10">
        <v>98.641499999999994</v>
      </c>
      <c r="CC42" s="10">
        <v>0.35907</v>
      </c>
      <c r="CD42" s="10">
        <v>0.17587</v>
      </c>
      <c r="CE42" s="11"/>
      <c r="CF42" s="10">
        <v>8.6394000000000002</v>
      </c>
      <c r="CG42" s="10">
        <v>1.363</v>
      </c>
      <c r="CH42" s="10">
        <v>0.17221</v>
      </c>
      <c r="CI42" s="10">
        <v>1.8283</v>
      </c>
      <c r="CJ42" s="10">
        <v>1.2311000000000001</v>
      </c>
      <c r="CK42" s="10">
        <v>4.7656999999999998</v>
      </c>
      <c r="CL42" s="10">
        <v>38.923999999999999</v>
      </c>
      <c r="CM42" s="10">
        <v>61.414999999999999</v>
      </c>
      <c r="CN42" s="10">
        <v>2.6478999999999999</v>
      </c>
      <c r="CO42" s="10">
        <v>877.93489999999997</v>
      </c>
      <c r="CP42" s="10">
        <v>215.97</v>
      </c>
      <c r="CQ42" s="10">
        <v>306.00630000000001</v>
      </c>
      <c r="CR42" s="10">
        <v>72.101500000000001</v>
      </c>
      <c r="CS42" s="10">
        <v>40.708799999999997</v>
      </c>
      <c r="CT42" s="10">
        <v>56.009300000000003</v>
      </c>
      <c r="CU42" s="10">
        <v>460.04919999999998</v>
      </c>
      <c r="CV42" s="10">
        <v>9.6940000000000008</v>
      </c>
      <c r="CW42" s="10">
        <v>1205.4163000000001</v>
      </c>
      <c r="CX42" s="10">
        <v>14.251899999999999</v>
      </c>
      <c r="CY42" s="10">
        <v>150.5412</v>
      </c>
      <c r="CZ42" s="10">
        <v>9.8960000000000008</v>
      </c>
      <c r="DA42" s="10">
        <v>2.9312000000000001E-2</v>
      </c>
      <c r="DB42" s="11"/>
      <c r="DC42" s="10">
        <v>51.560600000000001</v>
      </c>
      <c r="DD42" s="10">
        <v>5.9131</v>
      </c>
      <c r="DE42" s="10">
        <v>0.82042000000000004</v>
      </c>
      <c r="DF42" s="10">
        <v>8.2806999999999995</v>
      </c>
      <c r="DG42" s="10">
        <v>16.286200000000001</v>
      </c>
      <c r="DH42" s="10">
        <v>1.8027</v>
      </c>
      <c r="DI42" s="10">
        <v>0.48297000000000001</v>
      </c>
      <c r="DJ42" s="10">
        <v>45.158900000000003</v>
      </c>
      <c r="DK42" s="10">
        <v>0.22922999999999999</v>
      </c>
      <c r="DL42" s="10">
        <v>16.0397</v>
      </c>
      <c r="DM42" s="10">
        <v>7.6951000000000001</v>
      </c>
      <c r="DN42" s="10">
        <v>1.5571999999999999</v>
      </c>
      <c r="DO42" s="10">
        <v>1.7107000000000001</v>
      </c>
      <c r="DP42" s="10">
        <v>0.92205999999999999</v>
      </c>
      <c r="DQ42" s="10">
        <v>114.2375</v>
      </c>
      <c r="DR42" s="10">
        <v>0.30044999999999999</v>
      </c>
      <c r="DS42" s="10">
        <v>0.76944000000000001</v>
      </c>
      <c r="DT42" s="10">
        <v>2.5451000000000001</v>
      </c>
      <c r="DU42" s="10">
        <v>9.1600000000000001E-2</v>
      </c>
      <c r="DV42" s="11"/>
      <c r="DW42" s="10">
        <v>1.0699000000000001</v>
      </c>
      <c r="DX42" s="10">
        <v>2.1690999999999998</v>
      </c>
      <c r="DY42" s="10">
        <v>388.3569</v>
      </c>
      <c r="DZ42" s="10">
        <v>0.12091</v>
      </c>
      <c r="EA42" s="10">
        <v>6.4438000000000004</v>
      </c>
      <c r="EB42" s="10">
        <v>7.6875</v>
      </c>
      <c r="EC42" s="10">
        <v>1.7576000000000001</v>
      </c>
      <c r="ED42" s="10">
        <v>2.9312000000000001E-2</v>
      </c>
      <c r="EE42" s="10">
        <v>31.2927</v>
      </c>
      <c r="EF42" s="10">
        <v>1.1124000000000001</v>
      </c>
      <c r="EG42" s="10">
        <v>8.0371000000000006</v>
      </c>
      <c r="EH42" s="10">
        <v>1.8172999999999999</v>
      </c>
      <c r="EI42" s="10">
        <v>9.8928000000000002E-2</v>
      </c>
      <c r="EJ42" s="10">
        <v>2.2233000000000001</v>
      </c>
      <c r="EK42" s="10">
        <v>176.1369</v>
      </c>
      <c r="EL42" s="10">
        <v>1.81</v>
      </c>
      <c r="EM42" s="10">
        <v>29.8828</v>
      </c>
      <c r="EN42" s="10">
        <v>3.3919000000000001</v>
      </c>
      <c r="EO42" s="10">
        <v>0.69711000000000001</v>
      </c>
      <c r="EP42" s="10">
        <v>37.7453</v>
      </c>
      <c r="EQ42" s="10">
        <v>7.3280000000000003E-3</v>
      </c>
      <c r="ER42" s="10">
        <v>58.768799999999999</v>
      </c>
      <c r="ES42" s="10">
        <v>12.571199999999999</v>
      </c>
      <c r="ET42" s="10">
        <v>42.220199999999998</v>
      </c>
      <c r="EU42" s="10">
        <v>1.4619</v>
      </c>
      <c r="EV42" s="10">
        <v>16.299800000000001</v>
      </c>
      <c r="EW42" s="10">
        <v>96.742099999999994</v>
      </c>
      <c r="EX42" s="10">
        <v>0.19786000000000001</v>
      </c>
      <c r="EY42" s="10">
        <v>5.9005000000000001</v>
      </c>
      <c r="EZ42" s="10">
        <v>2.8616000000000001</v>
      </c>
      <c r="FA42" s="10">
        <v>4.3838999999999997</v>
      </c>
      <c r="FB42" s="10">
        <v>27.571999999999999</v>
      </c>
      <c r="FC42" s="10">
        <v>68.253</v>
      </c>
      <c r="FD42" s="10">
        <v>339.13290000000001</v>
      </c>
      <c r="FE42" s="10">
        <v>59.138399999999997</v>
      </c>
      <c r="FF42" s="10">
        <v>32.271000000000001</v>
      </c>
      <c r="FG42" s="10">
        <v>0.38995000000000002</v>
      </c>
      <c r="FH42" s="11"/>
      <c r="FI42" s="10">
        <v>107.5615</v>
      </c>
      <c r="FJ42" s="10">
        <v>1458.1570999999999</v>
      </c>
      <c r="FK42" s="10">
        <v>0.48138999999999998</v>
      </c>
      <c r="FL42" s="10">
        <v>1.0992E-2</v>
      </c>
      <c r="FM42" s="10">
        <v>0.15021999999999999</v>
      </c>
      <c r="FN42" s="10">
        <v>0.29311999999999999</v>
      </c>
      <c r="FO42" s="10">
        <v>5.4960000000000002E-2</v>
      </c>
      <c r="FP42" s="10">
        <v>0.16122</v>
      </c>
      <c r="FQ42" s="10">
        <v>0.13189999999999999</v>
      </c>
      <c r="FR42" s="10">
        <v>4.7632000000000001E-2</v>
      </c>
      <c r="FS42" s="10">
        <v>207.23050000000001</v>
      </c>
      <c r="FT42" s="10">
        <v>3.3331</v>
      </c>
      <c r="FU42" s="10">
        <v>51.882100000000001</v>
      </c>
      <c r="FV42" s="10">
        <v>0.43235000000000001</v>
      </c>
      <c r="FW42" s="10">
        <v>0.25647999999999999</v>
      </c>
      <c r="FX42" s="10">
        <v>48.356400000000001</v>
      </c>
      <c r="FY42" s="10">
        <v>44.073099999999997</v>
      </c>
      <c r="FZ42" s="10">
        <v>15.9611</v>
      </c>
      <c r="GA42" s="10">
        <v>0.21618000000000001</v>
      </c>
      <c r="GB42" s="10">
        <v>0.51295999999999997</v>
      </c>
      <c r="GC42" s="10">
        <v>377.31220000000002</v>
      </c>
      <c r="GD42" s="10">
        <v>363.54829999999998</v>
      </c>
      <c r="GE42" s="10">
        <v>276.02159999999998</v>
      </c>
      <c r="GF42" s="10">
        <v>7.7363</v>
      </c>
      <c r="GG42" s="10">
        <v>4.2853000000000003</v>
      </c>
      <c r="GH42" s="10">
        <v>2.1038999999999999</v>
      </c>
      <c r="GI42" s="10">
        <v>1.1652</v>
      </c>
      <c r="GJ42" s="10">
        <v>58.6967</v>
      </c>
      <c r="GK42" s="10">
        <v>44.614800000000002</v>
      </c>
      <c r="GL42" s="10">
        <v>49.7575</v>
      </c>
      <c r="GM42" s="10">
        <v>197.6516</v>
      </c>
      <c r="GN42" s="10">
        <v>2.4944000000000002</v>
      </c>
      <c r="GO42" s="10">
        <v>2.4815</v>
      </c>
      <c r="GP42" s="10">
        <v>159.23939999999999</v>
      </c>
      <c r="GQ42" s="11"/>
      <c r="GR42" s="10">
        <v>1.29</v>
      </c>
      <c r="GS42" s="10">
        <v>8.7936E-2</v>
      </c>
      <c r="GT42" s="10">
        <v>19.751100000000001</v>
      </c>
      <c r="GU42" s="10">
        <v>17.808499999999999</v>
      </c>
      <c r="GV42" s="10">
        <v>212.0403</v>
      </c>
      <c r="GW42" s="10">
        <v>32.024999999999999</v>
      </c>
      <c r="GX42" s="10">
        <v>5.8624000000000002E-2</v>
      </c>
      <c r="GY42" s="10">
        <v>7.3280000000000003E-3</v>
      </c>
      <c r="GZ42" s="10">
        <v>1.2093</v>
      </c>
      <c r="HA42" s="10">
        <v>328.57889999999998</v>
      </c>
      <c r="HB42" s="10">
        <v>80.682500000000005</v>
      </c>
      <c r="HC42" s="10">
        <v>567.81370000000004</v>
      </c>
      <c r="HD42" s="10">
        <v>5751.0519999999997</v>
      </c>
      <c r="HE42" s="10">
        <v>5.6401000000000003</v>
      </c>
      <c r="HF42" s="10">
        <v>118.49890000000001</v>
      </c>
      <c r="HG42" s="10">
        <v>8.0607999999999999E-2</v>
      </c>
      <c r="HH42" s="10">
        <v>166.8022</v>
      </c>
      <c r="HI42" s="10">
        <v>46.5548</v>
      </c>
      <c r="HJ42" s="11"/>
      <c r="HK42" s="11"/>
      <c r="HL42" s="10">
        <v>12.063499999999999</v>
      </c>
      <c r="HM42" s="10">
        <v>2.2791999999999999</v>
      </c>
      <c r="HN42" s="10">
        <v>14.1396</v>
      </c>
      <c r="HO42" s="10">
        <f t="shared" si="3"/>
        <v>23365.616333999995</v>
      </c>
      <c r="HP42" s="10">
        <f t="shared" si="4"/>
        <v>23.365616333999995</v>
      </c>
      <c r="HQ42" s="10">
        <f t="shared" si="5"/>
        <v>6.3718615582219789</v>
      </c>
      <c r="HR42" s="11"/>
      <c r="HS42" s="11"/>
      <c r="HT42" s="11"/>
      <c r="HU42" s="11"/>
      <c r="HV42" s="11"/>
      <c r="HW42" s="11"/>
    </row>
    <row r="43" spans="1:231" ht="19.95" customHeight="1">
      <c r="A43" s="8">
        <v>1999</v>
      </c>
      <c r="B43" s="9">
        <v>0.80950999999999995</v>
      </c>
      <c r="C43" s="10">
        <v>2.9752000000000001</v>
      </c>
      <c r="D43" s="10">
        <v>91.667900000000003</v>
      </c>
      <c r="E43" s="10">
        <v>0.51295999999999997</v>
      </c>
      <c r="F43" s="10">
        <v>9.1297999999999995</v>
      </c>
      <c r="G43" s="10">
        <v>8.0607999999999999E-2</v>
      </c>
      <c r="H43" s="10">
        <v>0.28212999999999999</v>
      </c>
      <c r="I43" s="10">
        <v>147.2851</v>
      </c>
      <c r="J43" s="10">
        <v>3.0480999999999998</v>
      </c>
      <c r="K43" s="10">
        <v>0.80974000000000002</v>
      </c>
      <c r="L43" s="10">
        <v>344.06380000000001</v>
      </c>
      <c r="M43" s="10">
        <v>65.562700000000007</v>
      </c>
      <c r="N43" s="10">
        <v>28.570399999999999</v>
      </c>
      <c r="O43" s="10">
        <v>1.9529000000000001</v>
      </c>
      <c r="P43" s="10">
        <v>17.988099999999999</v>
      </c>
      <c r="Q43" s="10">
        <v>25.075500000000002</v>
      </c>
      <c r="R43" s="10">
        <v>1.1625000000000001</v>
      </c>
      <c r="S43" s="10">
        <v>54.984499999999997</v>
      </c>
      <c r="T43" s="10">
        <v>124.7189</v>
      </c>
      <c r="U43" s="10">
        <v>0.34808</v>
      </c>
      <c r="V43" s="10">
        <v>1.5423</v>
      </c>
      <c r="W43" s="10">
        <v>0.51295999999999997</v>
      </c>
      <c r="X43" s="10">
        <v>0.37075999999999998</v>
      </c>
      <c r="Y43" s="10">
        <v>10.375999999999999</v>
      </c>
      <c r="Z43" s="10">
        <v>9.5079999999999998E-2</v>
      </c>
      <c r="AA43" s="10">
        <v>10.3339</v>
      </c>
      <c r="AB43" s="10">
        <v>3.1583999999999999</v>
      </c>
      <c r="AC43" s="10">
        <v>316.2824</v>
      </c>
      <c r="AD43" s="10">
        <v>0.12091</v>
      </c>
      <c r="AE43" s="10">
        <v>3.8031999999999999</v>
      </c>
      <c r="AF43" s="10">
        <v>46.37</v>
      </c>
      <c r="AG43" s="10">
        <v>0.91417000000000004</v>
      </c>
      <c r="AH43" s="10">
        <v>0.25281999999999999</v>
      </c>
      <c r="AI43" s="10">
        <v>1.8943000000000001</v>
      </c>
      <c r="AJ43" s="10">
        <v>2.9981</v>
      </c>
      <c r="AK43" s="10">
        <v>549.55319999999995</v>
      </c>
      <c r="AL43" s="10">
        <v>0.1832</v>
      </c>
      <c r="AM43" s="11"/>
      <c r="AN43" s="10">
        <v>0.26380999999999999</v>
      </c>
      <c r="AO43" s="10">
        <v>0.47632000000000002</v>
      </c>
      <c r="AP43" s="10">
        <v>60.907299999999999</v>
      </c>
      <c r="AQ43" s="10">
        <v>3258.1351</v>
      </c>
      <c r="AR43" s="10">
        <v>54.761200000000002</v>
      </c>
      <c r="AS43" s="10">
        <v>9.1600000000000001E-2</v>
      </c>
      <c r="AT43" s="10">
        <v>0.36274000000000001</v>
      </c>
      <c r="AU43" s="10">
        <v>4.7632000000000001E-2</v>
      </c>
      <c r="AV43" s="10">
        <v>5.4390000000000001</v>
      </c>
      <c r="AW43" s="10">
        <v>5.9394999999999998</v>
      </c>
      <c r="AX43" s="10">
        <v>20.115500000000001</v>
      </c>
      <c r="AY43" s="10">
        <v>25.183</v>
      </c>
      <c r="AZ43" s="10">
        <v>1.8065</v>
      </c>
      <c r="BA43" s="10">
        <v>6.8825000000000003</v>
      </c>
      <c r="BB43" s="10">
        <v>116.6234</v>
      </c>
      <c r="BC43" s="10">
        <v>1.3186</v>
      </c>
      <c r="BD43" s="10">
        <v>58.619300000000003</v>
      </c>
      <c r="BE43" s="10">
        <v>0.34075</v>
      </c>
      <c r="BF43" s="10">
        <v>8.0607999999999999E-2</v>
      </c>
      <c r="BG43" s="10">
        <v>18.383900000000001</v>
      </c>
      <c r="BH43" s="10">
        <v>21.364999999999998</v>
      </c>
      <c r="BI43" s="10">
        <v>124.4974</v>
      </c>
      <c r="BJ43" s="10">
        <v>5.5872000000000002</v>
      </c>
      <c r="BK43" s="10">
        <v>0.37006</v>
      </c>
      <c r="BL43" s="10">
        <v>0.61509999999999998</v>
      </c>
      <c r="BM43" s="10">
        <v>15.6533</v>
      </c>
      <c r="BN43" s="10">
        <v>3.0950000000000002</v>
      </c>
      <c r="BO43" s="10">
        <v>0.63021000000000005</v>
      </c>
      <c r="BP43" s="11"/>
      <c r="BQ43" s="10">
        <v>0.77502000000000004</v>
      </c>
      <c r="BR43" s="10">
        <v>58.894799999999996</v>
      </c>
      <c r="BS43" s="10">
        <v>421.70499999999998</v>
      </c>
      <c r="BT43" s="11"/>
      <c r="BU43" s="10">
        <v>0.49830000000000002</v>
      </c>
      <c r="BV43" s="10">
        <v>4.7869999999999999</v>
      </c>
      <c r="BW43" s="10">
        <v>0.27479999999999999</v>
      </c>
      <c r="BX43" s="10">
        <v>4.3097000000000003</v>
      </c>
      <c r="BY43" s="10">
        <v>895.64290000000005</v>
      </c>
      <c r="BZ43" s="10">
        <v>6.3695000000000004</v>
      </c>
      <c r="CA43" s="11"/>
      <c r="CB43" s="10">
        <v>97.958399999999997</v>
      </c>
      <c r="CC43" s="10">
        <v>0.37373000000000001</v>
      </c>
      <c r="CD43" s="10">
        <v>0.19419</v>
      </c>
      <c r="CE43" s="11"/>
      <c r="CF43" s="10">
        <v>8.8070000000000004</v>
      </c>
      <c r="CG43" s="10">
        <v>1.4326000000000001</v>
      </c>
      <c r="CH43" s="10">
        <v>0.19419</v>
      </c>
      <c r="CI43" s="10">
        <v>1.8320000000000001</v>
      </c>
      <c r="CJ43" s="10">
        <v>1.3117000000000001</v>
      </c>
      <c r="CK43" s="10">
        <v>4.6459000000000001</v>
      </c>
      <c r="CL43" s="10">
        <v>42.55</v>
      </c>
      <c r="CM43" s="10">
        <v>61.9116</v>
      </c>
      <c r="CN43" s="10">
        <v>2.8540000000000001</v>
      </c>
      <c r="CO43" s="10">
        <v>951.66629999999998</v>
      </c>
      <c r="CP43" s="10">
        <v>243.95189999999999</v>
      </c>
      <c r="CQ43" s="10">
        <v>379.62700000000001</v>
      </c>
      <c r="CR43" s="10">
        <v>71.681299999999993</v>
      </c>
      <c r="CS43" s="10">
        <v>42.440100000000001</v>
      </c>
      <c r="CT43" s="10">
        <v>54.7545</v>
      </c>
      <c r="CU43" s="10">
        <v>464.54849999999999</v>
      </c>
      <c r="CV43" s="10">
        <v>9.9581999999999997</v>
      </c>
      <c r="CW43" s="10">
        <v>1242.0153</v>
      </c>
      <c r="CX43" s="10">
        <v>14.2654</v>
      </c>
      <c r="CY43" s="10">
        <v>124.9524</v>
      </c>
      <c r="CZ43" s="10">
        <v>10.029299999999999</v>
      </c>
      <c r="DA43" s="10">
        <v>2.9312000000000001E-2</v>
      </c>
      <c r="DB43" s="11"/>
      <c r="DC43" s="10">
        <v>53.822200000000002</v>
      </c>
      <c r="DD43" s="10">
        <v>4.6467999999999998</v>
      </c>
      <c r="DE43" s="10">
        <v>0.84604999999999997</v>
      </c>
      <c r="DF43" s="10">
        <v>7.6959999999999997</v>
      </c>
      <c r="DG43" s="10">
        <v>16.428899999999999</v>
      </c>
      <c r="DH43" s="10">
        <v>1.8247</v>
      </c>
      <c r="DI43" s="10">
        <v>0.39067000000000002</v>
      </c>
      <c r="DJ43" s="10">
        <v>44.3033</v>
      </c>
      <c r="DK43" s="10">
        <v>0.22656000000000001</v>
      </c>
      <c r="DL43" s="10">
        <v>13.477</v>
      </c>
      <c r="DM43" s="10">
        <v>8.1479999999999997</v>
      </c>
      <c r="DN43" s="10">
        <v>1.5168999999999999</v>
      </c>
      <c r="DO43" s="10">
        <v>1.8169</v>
      </c>
      <c r="DP43" s="10">
        <v>0.92081000000000002</v>
      </c>
      <c r="DQ43" s="10">
        <v>108.2914</v>
      </c>
      <c r="DR43" s="10">
        <v>0.42136000000000001</v>
      </c>
      <c r="DS43" s="10">
        <v>0.80242000000000002</v>
      </c>
      <c r="DT43" s="10">
        <v>2.6276000000000002</v>
      </c>
      <c r="DU43" s="10">
        <v>8.7936E-2</v>
      </c>
      <c r="DV43" s="11"/>
      <c r="DW43" s="10">
        <v>1.0954999999999999</v>
      </c>
      <c r="DX43" s="10">
        <v>2.4256000000000002</v>
      </c>
      <c r="DY43" s="10">
        <v>390.51650000000001</v>
      </c>
      <c r="DZ43" s="10">
        <v>0.12458</v>
      </c>
      <c r="EA43" s="10">
        <v>4.6844999999999999</v>
      </c>
      <c r="EB43" s="10">
        <v>7.5351999999999997</v>
      </c>
      <c r="EC43" s="10">
        <v>1.2119</v>
      </c>
      <c r="ED43" s="10">
        <v>2.9312000000000001E-2</v>
      </c>
      <c r="EE43" s="10">
        <v>32.385199999999998</v>
      </c>
      <c r="EF43" s="10">
        <v>1.1672</v>
      </c>
      <c r="EG43" s="10">
        <v>8.93</v>
      </c>
      <c r="EH43" s="10">
        <v>1.6635</v>
      </c>
      <c r="EI43" s="10">
        <v>9.1600000000000001E-2</v>
      </c>
      <c r="EJ43" s="10">
        <v>3.1898</v>
      </c>
      <c r="EK43" s="10">
        <v>170.72730000000001</v>
      </c>
      <c r="EL43" s="10">
        <v>2.0554999999999999</v>
      </c>
      <c r="EM43" s="10">
        <v>31.472300000000001</v>
      </c>
      <c r="EN43" s="10">
        <v>3.5983999999999998</v>
      </c>
      <c r="EO43" s="10">
        <v>0.68240999999999996</v>
      </c>
      <c r="EP43" s="10">
        <v>39.586799999999997</v>
      </c>
      <c r="EQ43" s="10">
        <v>7.3280000000000003E-3</v>
      </c>
      <c r="ER43" s="10">
        <v>64.099400000000003</v>
      </c>
      <c r="ES43" s="10">
        <v>11.6662</v>
      </c>
      <c r="ET43" s="10">
        <v>42.973999999999997</v>
      </c>
      <c r="EU43" s="10">
        <v>1.3667</v>
      </c>
      <c r="EV43" s="10">
        <v>20.5579</v>
      </c>
      <c r="EW43" s="10">
        <v>99.390500000000003</v>
      </c>
      <c r="EX43" s="10">
        <v>0.19786000000000001</v>
      </c>
      <c r="EY43" s="10">
        <v>5.6211000000000002</v>
      </c>
      <c r="EZ43" s="10">
        <v>2.4439000000000002</v>
      </c>
      <c r="FA43" s="10">
        <v>4.3758999999999997</v>
      </c>
      <c r="FB43" s="10">
        <v>29.146799999999999</v>
      </c>
      <c r="FC43" s="10">
        <v>68.176699999999997</v>
      </c>
      <c r="FD43" s="10">
        <v>329.16730000000001</v>
      </c>
      <c r="FE43" s="10">
        <v>66.763199999999998</v>
      </c>
      <c r="FF43" s="10">
        <v>31.271100000000001</v>
      </c>
      <c r="FG43" s="10">
        <v>0.4229</v>
      </c>
      <c r="FH43" s="11"/>
      <c r="FI43" s="10">
        <v>90.778199999999998</v>
      </c>
      <c r="FJ43" s="10">
        <v>1486.09</v>
      </c>
      <c r="FK43" s="10">
        <v>0.50243000000000004</v>
      </c>
      <c r="FL43" s="10">
        <v>1.0992E-2</v>
      </c>
      <c r="FM43" s="10">
        <v>0.16122</v>
      </c>
      <c r="FN43" s="10">
        <v>0.33341999999999999</v>
      </c>
      <c r="FO43" s="10">
        <v>5.4960000000000002E-2</v>
      </c>
      <c r="FP43" s="10">
        <v>0.16488</v>
      </c>
      <c r="FQ43" s="10">
        <v>0.13557</v>
      </c>
      <c r="FR43" s="10">
        <v>4.7632000000000001E-2</v>
      </c>
      <c r="FS43" s="10">
        <v>225.97649999999999</v>
      </c>
      <c r="FT43" s="10">
        <v>3.6036000000000001</v>
      </c>
      <c r="FU43" s="10">
        <v>35.790700000000001</v>
      </c>
      <c r="FV43" s="10">
        <v>0.50929999999999997</v>
      </c>
      <c r="FW43" s="10">
        <v>0.14656</v>
      </c>
      <c r="FX43" s="10">
        <v>49.8705</v>
      </c>
      <c r="FY43" s="10">
        <v>43.200600000000001</v>
      </c>
      <c r="FZ43" s="10">
        <v>15.337199999999999</v>
      </c>
      <c r="GA43" s="10">
        <v>0.21618000000000001</v>
      </c>
      <c r="GB43" s="10">
        <v>0.49098000000000003</v>
      </c>
      <c r="GC43" s="10">
        <v>374.83010000000002</v>
      </c>
      <c r="GD43" s="10">
        <v>398.32530000000003</v>
      </c>
      <c r="GE43" s="10">
        <v>299.49869999999999</v>
      </c>
      <c r="GF43" s="10">
        <v>8.5175000000000001</v>
      </c>
      <c r="GG43" s="10">
        <v>4.6452</v>
      </c>
      <c r="GH43" s="10">
        <v>2.1221999999999999</v>
      </c>
      <c r="GI43" s="10">
        <v>1.2421</v>
      </c>
      <c r="GJ43" s="10">
        <v>55.8202</v>
      </c>
      <c r="GK43" s="10">
        <v>44.445799999999998</v>
      </c>
      <c r="GL43" s="10">
        <v>51.7714</v>
      </c>
      <c r="GM43" s="10">
        <v>205.31379999999999</v>
      </c>
      <c r="GN43" s="10">
        <v>2.5154999999999998</v>
      </c>
      <c r="GO43" s="10">
        <v>2.4579</v>
      </c>
      <c r="GP43" s="10">
        <v>166.14349999999999</v>
      </c>
      <c r="GQ43" s="11"/>
      <c r="GR43" s="10">
        <v>1.8504</v>
      </c>
      <c r="GS43" s="10">
        <v>0.10992</v>
      </c>
      <c r="GT43" s="10">
        <v>22.465800000000002</v>
      </c>
      <c r="GU43" s="10">
        <v>18.120200000000001</v>
      </c>
      <c r="GV43" s="10">
        <v>207.80420000000001</v>
      </c>
      <c r="GW43" s="10">
        <v>37.604999999999997</v>
      </c>
      <c r="GX43" s="10">
        <v>6.5951999999999997E-2</v>
      </c>
      <c r="GY43" s="10">
        <v>7.3280000000000003E-3</v>
      </c>
      <c r="GZ43" s="10">
        <v>1.254</v>
      </c>
      <c r="HA43" s="10">
        <v>298.20400000000001</v>
      </c>
      <c r="HB43" s="10">
        <v>77.542599999999993</v>
      </c>
      <c r="HC43" s="10">
        <v>560.95150000000001</v>
      </c>
      <c r="HD43" s="10">
        <v>5830.2975999999999</v>
      </c>
      <c r="HE43" s="10">
        <v>6.681</v>
      </c>
      <c r="HF43" s="10">
        <v>121.7392</v>
      </c>
      <c r="HG43" s="10">
        <v>8.4272E-2</v>
      </c>
      <c r="HH43" s="10">
        <v>172.5625</v>
      </c>
      <c r="HI43" s="10">
        <v>46.658000000000001</v>
      </c>
      <c r="HJ43" s="11"/>
      <c r="HK43" s="11"/>
      <c r="HL43" s="10">
        <v>13.7247</v>
      </c>
      <c r="HM43" s="10">
        <v>1.7782</v>
      </c>
      <c r="HN43" s="10">
        <v>15.7277</v>
      </c>
      <c r="HO43" s="10">
        <f t="shared" si="3"/>
        <v>23660.045592000002</v>
      </c>
      <c r="HP43" s="10">
        <f t="shared" si="4"/>
        <v>23.660045592000003</v>
      </c>
      <c r="HQ43" s="10">
        <f t="shared" si="5"/>
        <v>6.4521531475320435</v>
      </c>
      <c r="HR43" s="11"/>
      <c r="HS43" s="11"/>
      <c r="HT43" s="11"/>
      <c r="HU43" s="11"/>
      <c r="HV43" s="11"/>
      <c r="HW43" s="11"/>
    </row>
    <row r="44" spans="1:231" ht="19.95" customHeight="1">
      <c r="A44" s="8">
        <v>2000</v>
      </c>
      <c r="B44" s="9">
        <v>0.75766999999999995</v>
      </c>
      <c r="C44" s="10">
        <v>3.0045000000000002</v>
      </c>
      <c r="D44" s="10">
        <v>87.442700000000002</v>
      </c>
      <c r="E44" s="10">
        <v>0.52395000000000003</v>
      </c>
      <c r="F44" s="10">
        <v>9.5151000000000003</v>
      </c>
      <c r="G44" s="10">
        <v>8.7936E-2</v>
      </c>
      <c r="H44" s="10">
        <v>0.29311999999999999</v>
      </c>
      <c r="I44" s="10">
        <v>142.35830000000001</v>
      </c>
      <c r="J44" s="10">
        <v>3.4914000000000001</v>
      </c>
      <c r="K44" s="10">
        <v>2.3778999999999999</v>
      </c>
      <c r="L44" s="10">
        <v>350.19499999999999</v>
      </c>
      <c r="M44" s="10">
        <v>66.162899999999993</v>
      </c>
      <c r="N44" s="10">
        <v>29.5063</v>
      </c>
      <c r="O44" s="10">
        <v>1.9492</v>
      </c>
      <c r="P44" s="10">
        <v>18.793800000000001</v>
      </c>
      <c r="Q44" s="10">
        <v>26.5245</v>
      </c>
      <c r="R44" s="10">
        <v>1.1516</v>
      </c>
      <c r="S44" s="10">
        <v>54.877400000000002</v>
      </c>
      <c r="T44" s="10">
        <v>126.7353</v>
      </c>
      <c r="U44" s="10">
        <v>0.39571000000000001</v>
      </c>
      <c r="V44" s="10">
        <v>1.5740000000000001</v>
      </c>
      <c r="W44" s="10">
        <v>0.51661999999999997</v>
      </c>
      <c r="X44" s="10">
        <v>0.38168999999999997</v>
      </c>
      <c r="Y44" s="10">
        <v>11.0047</v>
      </c>
      <c r="Z44" s="10">
        <v>0.25228</v>
      </c>
      <c r="AA44" s="10">
        <v>13.7013</v>
      </c>
      <c r="AB44" s="10">
        <v>3.7776000000000001</v>
      </c>
      <c r="AC44" s="10">
        <v>324.226</v>
      </c>
      <c r="AD44" s="10">
        <v>0.12458</v>
      </c>
      <c r="AE44" s="10">
        <v>4.5910000000000002</v>
      </c>
      <c r="AF44" s="10">
        <v>45.305</v>
      </c>
      <c r="AG44" s="10">
        <v>1.0308999999999999</v>
      </c>
      <c r="AH44" s="10">
        <v>0.27113999999999999</v>
      </c>
      <c r="AI44" s="10">
        <v>1.9749000000000001</v>
      </c>
      <c r="AJ44" s="10">
        <v>3.3458000000000001</v>
      </c>
      <c r="AK44" s="10">
        <v>572.16210000000001</v>
      </c>
      <c r="AL44" s="10">
        <v>0.21618000000000001</v>
      </c>
      <c r="AM44" s="11"/>
      <c r="AN44" s="10">
        <v>0.26746999999999999</v>
      </c>
      <c r="AO44" s="10">
        <v>0.48731000000000002</v>
      </c>
      <c r="AP44" s="10">
        <v>58.113700000000001</v>
      </c>
      <c r="AQ44" s="10">
        <v>3349.2950000000001</v>
      </c>
      <c r="AR44" s="10">
        <v>56.258800000000001</v>
      </c>
      <c r="AS44" s="10">
        <v>0.10259</v>
      </c>
      <c r="AT44" s="10">
        <v>0.56584999999999996</v>
      </c>
      <c r="AU44" s="10">
        <v>4.7632000000000001E-2</v>
      </c>
      <c r="AV44" s="10">
        <v>5.3944999999999999</v>
      </c>
      <c r="AW44" s="10">
        <v>6.4633000000000003</v>
      </c>
      <c r="AX44" s="10">
        <v>19.694400000000002</v>
      </c>
      <c r="AY44" s="10">
        <v>25.944199999999999</v>
      </c>
      <c r="AZ44" s="10">
        <v>4.7934000000000001</v>
      </c>
      <c r="BA44" s="10">
        <v>7.1459000000000001</v>
      </c>
      <c r="BB44" s="10">
        <v>127.0665</v>
      </c>
      <c r="BC44" s="10">
        <v>0.89276999999999995</v>
      </c>
      <c r="BD44" s="10">
        <v>54.276699999999998</v>
      </c>
      <c r="BE44" s="10">
        <v>0.3664</v>
      </c>
      <c r="BF44" s="10">
        <v>0.10259</v>
      </c>
      <c r="BG44" s="10">
        <v>19.593699999999998</v>
      </c>
      <c r="BH44" s="10">
        <v>20.5626</v>
      </c>
      <c r="BI44" s="10">
        <v>140.3476</v>
      </c>
      <c r="BJ44" s="10">
        <v>5.6718999999999999</v>
      </c>
      <c r="BK44" s="10">
        <v>0.46533000000000002</v>
      </c>
      <c r="BL44" s="10">
        <v>0.60407999999999995</v>
      </c>
      <c r="BM44" s="10">
        <v>15.244199999999999</v>
      </c>
      <c r="BN44" s="10">
        <v>3.4638</v>
      </c>
      <c r="BO44" s="10">
        <v>0.68883000000000005</v>
      </c>
      <c r="BP44" s="11"/>
      <c r="BQ44" s="10">
        <v>0.83357999999999999</v>
      </c>
      <c r="BR44" s="10">
        <v>57.038200000000003</v>
      </c>
      <c r="BS44" s="10">
        <v>416.26589999999999</v>
      </c>
      <c r="BT44" s="11"/>
      <c r="BU44" s="10">
        <v>0.57157999999999998</v>
      </c>
      <c r="BV44" s="10">
        <v>4.6699000000000002</v>
      </c>
      <c r="BW44" s="10">
        <v>0.27479999999999999</v>
      </c>
      <c r="BX44" s="10">
        <v>4.4993999999999996</v>
      </c>
      <c r="BY44" s="10">
        <v>899.78020000000004</v>
      </c>
      <c r="BZ44" s="10">
        <v>6.1005000000000003</v>
      </c>
      <c r="CA44" s="11"/>
      <c r="CB44" s="10">
        <v>102.999</v>
      </c>
      <c r="CC44" s="10">
        <v>0.45434000000000002</v>
      </c>
      <c r="CD44" s="10">
        <v>0.19053</v>
      </c>
      <c r="CE44" s="11"/>
      <c r="CF44" s="10">
        <v>9.7658000000000005</v>
      </c>
      <c r="CG44" s="10">
        <v>1.4912000000000001</v>
      </c>
      <c r="CH44" s="10">
        <v>0.14656</v>
      </c>
      <c r="CI44" s="10">
        <v>1.7477</v>
      </c>
      <c r="CJ44" s="10">
        <v>1.341</v>
      </c>
      <c r="CK44" s="10">
        <v>4.9781000000000004</v>
      </c>
      <c r="CL44" s="10">
        <v>40.283900000000003</v>
      </c>
      <c r="CM44" s="10">
        <v>58.6083</v>
      </c>
      <c r="CN44" s="10">
        <v>2.9464999999999999</v>
      </c>
      <c r="CO44" s="10">
        <v>978.42190000000005</v>
      </c>
      <c r="CP44" s="10">
        <v>265.80340000000001</v>
      </c>
      <c r="CQ44" s="10">
        <v>369.26350000000002</v>
      </c>
      <c r="CR44" s="10">
        <v>71.715400000000002</v>
      </c>
      <c r="CS44" s="10">
        <v>45.249000000000002</v>
      </c>
      <c r="CT44" s="10">
        <v>59.519399999999997</v>
      </c>
      <c r="CU44" s="10">
        <v>468.44209999999998</v>
      </c>
      <c r="CV44" s="10">
        <v>10.314</v>
      </c>
      <c r="CW44" s="10">
        <v>1264.8443</v>
      </c>
      <c r="CX44" s="10">
        <v>15.2</v>
      </c>
      <c r="CY44" s="10">
        <v>148.75620000000001</v>
      </c>
      <c r="CZ44" s="10">
        <v>10.301600000000001</v>
      </c>
      <c r="DA44" s="10">
        <v>3.2975999999999998E-2</v>
      </c>
      <c r="DB44" s="11"/>
      <c r="DC44" s="10">
        <v>53.384099999999997</v>
      </c>
      <c r="DD44" s="10">
        <v>4.6025</v>
      </c>
      <c r="DE44" s="10">
        <v>0.95818000000000003</v>
      </c>
      <c r="DF44" s="10">
        <v>7.0647000000000002</v>
      </c>
      <c r="DG44" s="10">
        <v>15.4663</v>
      </c>
      <c r="DH44" s="10">
        <v>1.8503000000000001</v>
      </c>
      <c r="DI44" s="10">
        <v>0.42176999999999998</v>
      </c>
      <c r="DJ44" s="10">
        <v>46.792999999999999</v>
      </c>
      <c r="DK44" s="10">
        <v>0.21684999999999999</v>
      </c>
      <c r="DL44" s="10">
        <v>11.873900000000001</v>
      </c>
      <c r="DM44" s="10">
        <v>8.7316000000000003</v>
      </c>
      <c r="DN44" s="10">
        <v>1.6305000000000001</v>
      </c>
      <c r="DO44" s="10">
        <v>1.8674999999999999</v>
      </c>
      <c r="DP44" s="10">
        <v>0.86484000000000005</v>
      </c>
      <c r="DQ44" s="10">
        <v>126.51430000000001</v>
      </c>
      <c r="DR44" s="10">
        <v>0.45067000000000002</v>
      </c>
      <c r="DS44" s="10">
        <v>0.83172999999999997</v>
      </c>
      <c r="DT44" s="10">
        <v>2.5455000000000001</v>
      </c>
      <c r="DU44" s="10">
        <v>9.8928000000000002E-2</v>
      </c>
      <c r="DV44" s="11"/>
      <c r="DW44" s="10">
        <v>1.1138999999999999</v>
      </c>
      <c r="DX44" s="10">
        <v>2.6894</v>
      </c>
      <c r="DY44" s="10">
        <v>396.06639999999999</v>
      </c>
      <c r="DZ44" s="10">
        <v>0.12823999999999999</v>
      </c>
      <c r="EA44" s="10">
        <v>3.573</v>
      </c>
      <c r="EB44" s="10">
        <v>7.4867999999999997</v>
      </c>
      <c r="EC44" s="10">
        <v>1.5207999999999999</v>
      </c>
      <c r="ED44" s="10">
        <v>2.5648000000000001E-2</v>
      </c>
      <c r="EE44" s="10">
        <v>33.609900000000003</v>
      </c>
      <c r="EF44" s="10">
        <v>1.3228</v>
      </c>
      <c r="EG44" s="10">
        <v>10.0425</v>
      </c>
      <c r="EH44" s="10">
        <v>1.6415</v>
      </c>
      <c r="EI44" s="10">
        <v>8.4272E-2</v>
      </c>
      <c r="EJ44" s="10">
        <v>3.0379999999999998</v>
      </c>
      <c r="EK44" s="10">
        <v>171.88740000000001</v>
      </c>
      <c r="EL44" s="10">
        <v>2.2216</v>
      </c>
      <c r="EM44" s="10">
        <v>32.281399999999998</v>
      </c>
      <c r="EN44" s="10">
        <v>3.7210999999999999</v>
      </c>
      <c r="EO44" s="10">
        <v>0.69267999999999996</v>
      </c>
      <c r="EP44" s="10">
        <v>78.823099999999997</v>
      </c>
      <c r="EQ44" s="10">
        <v>7.3280000000000003E-3</v>
      </c>
      <c r="ER44" s="10">
        <v>69.165999999999997</v>
      </c>
      <c r="ES44" s="10">
        <v>11.995900000000001</v>
      </c>
      <c r="ET44" s="10">
        <v>42.518599999999999</v>
      </c>
      <c r="EU44" s="10">
        <v>1.6597999999999999</v>
      </c>
      <c r="EV44" s="10">
        <v>21.534500000000001</v>
      </c>
      <c r="EW44" s="10">
        <v>105.41840000000001</v>
      </c>
      <c r="EX44" s="10">
        <v>0.20885000000000001</v>
      </c>
      <c r="EY44" s="10">
        <v>5.7276999999999996</v>
      </c>
      <c r="EZ44" s="10">
        <v>2.6637</v>
      </c>
      <c r="FA44" s="10">
        <v>3.6061000000000001</v>
      </c>
      <c r="FB44" s="10">
        <v>30.078299999999999</v>
      </c>
      <c r="FC44" s="10">
        <v>72.346400000000003</v>
      </c>
      <c r="FD44" s="10">
        <v>317.33800000000002</v>
      </c>
      <c r="FE44" s="10">
        <v>65.526600000000002</v>
      </c>
      <c r="FF44" s="10">
        <v>34.566200000000002</v>
      </c>
      <c r="FG44" s="10">
        <v>0.45982000000000001</v>
      </c>
      <c r="FH44" s="11"/>
      <c r="FI44" s="10">
        <v>95.455799999999996</v>
      </c>
      <c r="FJ44" s="10">
        <v>1471.0522000000001</v>
      </c>
      <c r="FK44" s="10">
        <v>0.51971000000000001</v>
      </c>
      <c r="FL44" s="10">
        <v>1.0992E-2</v>
      </c>
      <c r="FM44" s="10">
        <v>0.17221</v>
      </c>
      <c r="FN44" s="10">
        <v>0.34808</v>
      </c>
      <c r="FO44" s="10">
        <v>5.4960000000000002E-2</v>
      </c>
      <c r="FP44" s="10">
        <v>0.14656</v>
      </c>
      <c r="FQ44" s="10">
        <v>0.1429</v>
      </c>
      <c r="FR44" s="10">
        <v>4.7632000000000001E-2</v>
      </c>
      <c r="FS44" s="10">
        <v>296.35329999999999</v>
      </c>
      <c r="FT44" s="10">
        <v>3.9009</v>
      </c>
      <c r="FU44" s="10">
        <v>44.950200000000002</v>
      </c>
      <c r="FV44" s="10">
        <v>0.57157999999999998</v>
      </c>
      <c r="FW44" s="10">
        <v>0.38838</v>
      </c>
      <c r="FX44" s="10">
        <v>48.856299999999997</v>
      </c>
      <c r="FY44" s="10">
        <v>41.289099999999998</v>
      </c>
      <c r="FZ44" s="10">
        <v>15.444900000000001</v>
      </c>
      <c r="GA44" s="10">
        <v>0.2235</v>
      </c>
      <c r="GB44" s="10">
        <v>0.47998000000000002</v>
      </c>
      <c r="GC44" s="10">
        <v>378.25490000000002</v>
      </c>
      <c r="GD44" s="10">
        <v>445.44069999999999</v>
      </c>
      <c r="GE44" s="10">
        <v>311.267</v>
      </c>
      <c r="GF44" s="10">
        <v>10.133800000000001</v>
      </c>
      <c r="GG44" s="10">
        <v>5.0553999999999997</v>
      </c>
      <c r="GH44" s="10">
        <v>2.1918000000000002</v>
      </c>
      <c r="GI44" s="10">
        <v>1.2128000000000001</v>
      </c>
      <c r="GJ44" s="10">
        <v>54.684399999999997</v>
      </c>
      <c r="GK44" s="10">
        <v>43.617600000000003</v>
      </c>
      <c r="GL44" s="10">
        <v>50.481499999999997</v>
      </c>
      <c r="GM44" s="10">
        <v>221.9196</v>
      </c>
      <c r="GN44" s="10">
        <v>2.2321</v>
      </c>
      <c r="GO44" s="10">
        <v>2.5709</v>
      </c>
      <c r="GP44" s="10">
        <v>170.69759999999999</v>
      </c>
      <c r="GQ44" s="11"/>
      <c r="GR44" s="10">
        <v>1.3313999999999999</v>
      </c>
      <c r="GS44" s="10">
        <v>9.5264000000000001E-2</v>
      </c>
      <c r="GT44" s="10">
        <v>24.190999999999999</v>
      </c>
      <c r="GU44" s="10">
        <v>19.670300000000001</v>
      </c>
      <c r="GV44" s="10">
        <v>229.79060000000001</v>
      </c>
      <c r="GW44" s="10">
        <v>37.465600000000002</v>
      </c>
      <c r="GX44" s="10">
        <v>6.9615999999999997E-2</v>
      </c>
      <c r="GY44" s="10">
        <v>7.3280000000000003E-3</v>
      </c>
      <c r="GZ44" s="10">
        <v>1.3608</v>
      </c>
      <c r="HA44" s="10">
        <v>285.3372</v>
      </c>
      <c r="HB44" s="10">
        <v>111.7881</v>
      </c>
      <c r="HC44" s="10">
        <v>567.50390000000004</v>
      </c>
      <c r="HD44" s="10">
        <v>5998.0703999999996</v>
      </c>
      <c r="HE44" s="10">
        <v>5.2671000000000001</v>
      </c>
      <c r="HF44" s="10">
        <v>120.994</v>
      </c>
      <c r="HG44" s="10">
        <v>8.4272E-2</v>
      </c>
      <c r="HH44" s="10">
        <v>151.87100000000001</v>
      </c>
      <c r="HI44" s="10">
        <v>52.332099999999997</v>
      </c>
      <c r="HJ44" s="11"/>
      <c r="HK44" s="11"/>
      <c r="HL44" s="10">
        <v>14.4742</v>
      </c>
      <c r="HM44" s="10">
        <v>1.7850999999999999</v>
      </c>
      <c r="HN44" s="10">
        <v>13.818199999999999</v>
      </c>
      <c r="HO44" s="10">
        <f t="shared" si="3"/>
        <v>24337.808464000005</v>
      </c>
      <c r="HP44" s="10">
        <f t="shared" si="4"/>
        <v>24.337808464000005</v>
      </c>
      <c r="HQ44" s="10">
        <f t="shared" si="5"/>
        <v>6.6369807646577605</v>
      </c>
      <c r="HR44" s="11"/>
      <c r="HS44" s="11"/>
      <c r="HT44" s="11"/>
      <c r="HU44" s="11"/>
      <c r="HV44" s="11"/>
      <c r="HW44" s="11"/>
    </row>
    <row r="45" spans="1:231" ht="19.95" customHeight="1">
      <c r="A45" s="8">
        <v>2001</v>
      </c>
      <c r="B45" s="9">
        <v>0.79796</v>
      </c>
      <c r="C45" s="10">
        <v>3.2206999999999999</v>
      </c>
      <c r="D45" s="10">
        <v>83.780699999999996</v>
      </c>
      <c r="E45" s="10">
        <v>0.52395000000000003</v>
      </c>
      <c r="F45" s="10">
        <v>9.6715</v>
      </c>
      <c r="G45" s="10">
        <v>9.5264000000000001E-2</v>
      </c>
      <c r="H45" s="10">
        <v>0.29677999999999999</v>
      </c>
      <c r="I45" s="10">
        <v>134.00389999999999</v>
      </c>
      <c r="J45" s="10">
        <v>3.5327000000000002</v>
      </c>
      <c r="K45" s="10">
        <v>2.4072</v>
      </c>
      <c r="L45" s="10">
        <v>357.66919999999999</v>
      </c>
      <c r="M45" s="10">
        <v>70.102599999999995</v>
      </c>
      <c r="N45" s="10">
        <v>28.7927</v>
      </c>
      <c r="O45" s="10">
        <v>1.8686</v>
      </c>
      <c r="P45" s="10">
        <v>14.077500000000001</v>
      </c>
      <c r="Q45" s="10">
        <v>31.035</v>
      </c>
      <c r="R45" s="10">
        <v>1.1861999999999999</v>
      </c>
      <c r="S45" s="10">
        <v>54.9679</v>
      </c>
      <c r="T45" s="10">
        <v>126.0847</v>
      </c>
      <c r="U45" s="10">
        <v>0.44701000000000002</v>
      </c>
      <c r="V45" s="10">
        <v>1.7898000000000001</v>
      </c>
      <c r="W45" s="10">
        <v>0.52761999999999998</v>
      </c>
      <c r="X45" s="10">
        <v>0.36910999999999999</v>
      </c>
      <c r="Y45" s="10">
        <v>8.5606000000000009</v>
      </c>
      <c r="Z45" s="10">
        <v>0.25690000000000002</v>
      </c>
      <c r="AA45" s="10">
        <v>13.2638</v>
      </c>
      <c r="AB45" s="10">
        <v>3.8472</v>
      </c>
      <c r="AC45" s="10">
        <v>332.98739999999998</v>
      </c>
      <c r="AD45" s="10">
        <v>0.12823999999999999</v>
      </c>
      <c r="AE45" s="10">
        <v>4.3895</v>
      </c>
      <c r="AF45" s="10">
        <v>49.014099999999999</v>
      </c>
      <c r="AG45" s="10">
        <v>0.99168999999999996</v>
      </c>
      <c r="AH45" s="10">
        <v>0.20518</v>
      </c>
      <c r="AI45" s="10">
        <v>2.2496999999999998</v>
      </c>
      <c r="AJ45" s="10">
        <v>3.3250000000000002</v>
      </c>
      <c r="AK45" s="10">
        <v>564.94640000000004</v>
      </c>
      <c r="AL45" s="10">
        <v>0.23449999999999999</v>
      </c>
      <c r="AM45" s="11"/>
      <c r="AN45" s="10">
        <v>0.24549000000000001</v>
      </c>
      <c r="AO45" s="10">
        <v>0.50197000000000003</v>
      </c>
      <c r="AP45" s="10">
        <v>52.576500000000003</v>
      </c>
      <c r="AQ45" s="10">
        <v>3426.1437999999998</v>
      </c>
      <c r="AR45" s="10">
        <v>55.938899999999997</v>
      </c>
      <c r="AS45" s="10">
        <v>0.10259</v>
      </c>
      <c r="AT45" s="10">
        <v>0.76578000000000002</v>
      </c>
      <c r="AU45" s="10">
        <v>3.2975999999999998E-2</v>
      </c>
      <c r="AV45" s="10">
        <v>5.6658999999999997</v>
      </c>
      <c r="AW45" s="10">
        <v>7.3975999999999997</v>
      </c>
      <c r="AX45" s="10">
        <v>20.806699999999999</v>
      </c>
      <c r="AY45" s="10">
        <v>25.3322</v>
      </c>
      <c r="AZ45" s="10">
        <v>4.8810000000000002</v>
      </c>
      <c r="BA45" s="10">
        <v>7.0213999999999999</v>
      </c>
      <c r="BB45" s="10">
        <v>126.9576</v>
      </c>
      <c r="BC45" s="10">
        <v>0.76876999999999995</v>
      </c>
      <c r="BD45" s="10">
        <v>55.865200000000002</v>
      </c>
      <c r="BE45" s="10">
        <v>0.3664</v>
      </c>
      <c r="BF45" s="10">
        <v>0.10992</v>
      </c>
      <c r="BG45" s="10">
        <v>19.593800000000002</v>
      </c>
      <c r="BH45" s="10">
        <v>22.939399999999999</v>
      </c>
      <c r="BI45" s="10">
        <v>124.2928</v>
      </c>
      <c r="BJ45" s="10">
        <v>5.8581000000000003</v>
      </c>
      <c r="BK45" s="10">
        <v>4.5396999999999998</v>
      </c>
      <c r="BL45" s="10">
        <v>0.62599000000000005</v>
      </c>
      <c r="BM45" s="10">
        <v>15.576700000000001</v>
      </c>
      <c r="BN45" s="10">
        <v>4.2633999999999999</v>
      </c>
      <c r="BO45" s="10">
        <v>0.76210999999999995</v>
      </c>
      <c r="BP45" s="11"/>
      <c r="BQ45" s="10">
        <v>1.046</v>
      </c>
      <c r="BR45" s="10">
        <v>62.536200000000001</v>
      </c>
      <c r="BS45" s="10">
        <v>420.84809999999999</v>
      </c>
      <c r="BT45" s="11"/>
      <c r="BU45" s="10">
        <v>0.68149999999999999</v>
      </c>
      <c r="BV45" s="10">
        <v>4.7729999999999997</v>
      </c>
      <c r="BW45" s="10">
        <v>0.30044999999999999</v>
      </c>
      <c r="BX45" s="10">
        <v>3.7336999999999998</v>
      </c>
      <c r="BY45" s="10">
        <v>916.36609999999996</v>
      </c>
      <c r="BZ45" s="10">
        <v>6.7325999999999997</v>
      </c>
      <c r="CA45" s="11"/>
      <c r="CB45" s="10">
        <v>105.3857</v>
      </c>
      <c r="CC45" s="10">
        <v>0.40670000000000001</v>
      </c>
      <c r="CD45" s="10">
        <v>0.19419</v>
      </c>
      <c r="CE45" s="11"/>
      <c r="CF45" s="10">
        <v>10.2332</v>
      </c>
      <c r="CG45" s="10">
        <v>1.5609</v>
      </c>
      <c r="CH45" s="10">
        <v>0.15021999999999999</v>
      </c>
      <c r="CI45" s="10">
        <v>1.7441</v>
      </c>
      <c r="CJ45" s="10">
        <v>1.5527</v>
      </c>
      <c r="CK45" s="10">
        <v>5.6528</v>
      </c>
      <c r="CL45" s="10">
        <v>37.8018</v>
      </c>
      <c r="CM45" s="10">
        <v>60.238799999999998</v>
      </c>
      <c r="CN45" s="10">
        <v>2.8752</v>
      </c>
      <c r="CO45" s="10">
        <v>992.524</v>
      </c>
      <c r="CP45" s="10">
        <v>297.53030000000001</v>
      </c>
      <c r="CQ45" s="10">
        <v>394.9314</v>
      </c>
      <c r="CR45" s="10">
        <v>84.555899999999994</v>
      </c>
      <c r="CS45" s="10">
        <v>47.607399999999998</v>
      </c>
      <c r="CT45" s="10">
        <v>63.022399999999998</v>
      </c>
      <c r="CU45" s="10">
        <v>468.6429</v>
      </c>
      <c r="CV45" s="10">
        <v>10.5764</v>
      </c>
      <c r="CW45" s="10">
        <v>1250.211</v>
      </c>
      <c r="CX45" s="10">
        <v>15.6105</v>
      </c>
      <c r="CY45" s="10">
        <v>142.9239</v>
      </c>
      <c r="CZ45" s="10">
        <v>9.2356999999999996</v>
      </c>
      <c r="DA45" s="10">
        <v>2.9312000000000001E-2</v>
      </c>
      <c r="DB45" s="11"/>
      <c r="DC45" s="10">
        <v>57.484699999999997</v>
      </c>
      <c r="DD45" s="10">
        <v>3.8622999999999998</v>
      </c>
      <c r="DE45" s="10">
        <v>1.0606</v>
      </c>
      <c r="DF45" s="10">
        <v>7.4744000000000002</v>
      </c>
      <c r="DG45" s="10">
        <v>16.406300000000002</v>
      </c>
      <c r="DH45" s="10">
        <v>1.8759999999999999</v>
      </c>
      <c r="DI45" s="10">
        <v>0.44801000000000002</v>
      </c>
      <c r="DJ45" s="10">
        <v>47.773800000000001</v>
      </c>
      <c r="DK45" s="10">
        <v>0.21465999999999999</v>
      </c>
      <c r="DL45" s="10">
        <v>12.6214</v>
      </c>
      <c r="DM45" s="10">
        <v>9.2263999999999999</v>
      </c>
      <c r="DN45" s="10">
        <v>1.6854</v>
      </c>
      <c r="DO45" s="10">
        <v>1.7355</v>
      </c>
      <c r="DP45" s="10">
        <v>0.79213</v>
      </c>
      <c r="DQ45" s="10">
        <v>134.94810000000001</v>
      </c>
      <c r="DR45" s="10">
        <v>0.46166000000000001</v>
      </c>
      <c r="DS45" s="10">
        <v>0.83906000000000003</v>
      </c>
      <c r="DT45" s="10">
        <v>2.6652</v>
      </c>
      <c r="DU45" s="10">
        <v>0.10259</v>
      </c>
      <c r="DV45" s="11"/>
      <c r="DW45" s="10">
        <v>1.1725000000000001</v>
      </c>
      <c r="DX45" s="10">
        <v>2.8616000000000001</v>
      </c>
      <c r="DY45" s="10">
        <v>410.6979</v>
      </c>
      <c r="DZ45" s="10">
        <v>0.1429</v>
      </c>
      <c r="EA45" s="10">
        <v>3.7866</v>
      </c>
      <c r="EB45" s="10">
        <v>7.8699000000000003</v>
      </c>
      <c r="EC45" s="10">
        <v>1.6673</v>
      </c>
      <c r="ED45" s="10">
        <v>2.5648000000000001E-2</v>
      </c>
      <c r="EE45" s="10">
        <v>37.451999999999998</v>
      </c>
      <c r="EF45" s="10">
        <v>1.5539000000000001</v>
      </c>
      <c r="EG45" s="10">
        <v>8.6801999999999992</v>
      </c>
      <c r="EH45" s="10">
        <v>2.0152000000000001</v>
      </c>
      <c r="EI45" s="10">
        <v>8.0607999999999999E-2</v>
      </c>
      <c r="EJ45" s="10">
        <v>3.2368000000000001</v>
      </c>
      <c r="EK45" s="10">
        <v>176.79849999999999</v>
      </c>
      <c r="EL45" s="10">
        <v>1.8776999999999999</v>
      </c>
      <c r="EM45" s="10">
        <v>34.4574</v>
      </c>
      <c r="EN45" s="10">
        <v>3.9220000000000002</v>
      </c>
      <c r="EO45" s="10">
        <v>0.65164</v>
      </c>
      <c r="EP45" s="10">
        <v>86.717500000000001</v>
      </c>
      <c r="EQ45" s="10">
        <v>7.3280000000000003E-3</v>
      </c>
      <c r="ER45" s="10">
        <v>71.665000000000006</v>
      </c>
      <c r="ES45" s="10">
        <v>11.926299999999999</v>
      </c>
      <c r="ET45" s="10">
        <v>43.866399999999999</v>
      </c>
      <c r="EU45" s="10">
        <v>1.3484</v>
      </c>
      <c r="EV45" s="10">
        <v>20.105899999999998</v>
      </c>
      <c r="EW45" s="10">
        <v>107.1262</v>
      </c>
      <c r="EX45" s="10">
        <v>0.21618000000000001</v>
      </c>
      <c r="EY45" s="10">
        <v>6.9546000000000001</v>
      </c>
      <c r="EZ45" s="10">
        <v>3.206</v>
      </c>
      <c r="FA45" s="10">
        <v>3.6955</v>
      </c>
      <c r="FB45" s="10">
        <v>26.928699999999999</v>
      </c>
      <c r="FC45" s="10">
        <v>70.304500000000004</v>
      </c>
      <c r="FD45" s="10">
        <v>313.64769999999999</v>
      </c>
      <c r="FE45" s="10">
        <v>65.149299999999997</v>
      </c>
      <c r="FF45" s="10">
        <v>41.214500000000001</v>
      </c>
      <c r="FG45" s="10">
        <v>0.52907999999999999</v>
      </c>
      <c r="FH45" s="11"/>
      <c r="FI45" s="10">
        <v>100.3571</v>
      </c>
      <c r="FJ45" s="10">
        <v>1507.5009</v>
      </c>
      <c r="FK45" s="10">
        <v>0.52144999999999997</v>
      </c>
      <c r="FL45" s="10">
        <v>1.0992E-2</v>
      </c>
      <c r="FM45" s="10">
        <v>0.17587</v>
      </c>
      <c r="FN45" s="10">
        <v>0.34808</v>
      </c>
      <c r="FO45" s="10">
        <v>5.4960000000000002E-2</v>
      </c>
      <c r="FP45" s="10">
        <v>0.17954000000000001</v>
      </c>
      <c r="FQ45" s="10">
        <v>0.14656</v>
      </c>
      <c r="FR45" s="10">
        <v>5.1296000000000001E-2</v>
      </c>
      <c r="FS45" s="10">
        <v>296.57490000000001</v>
      </c>
      <c r="FT45" s="10">
        <v>4.2576999999999998</v>
      </c>
      <c r="FU45" s="10">
        <v>49.266100000000002</v>
      </c>
      <c r="FV45" s="10">
        <v>0.63387000000000004</v>
      </c>
      <c r="FW45" s="10">
        <v>0.41770000000000002</v>
      </c>
      <c r="FX45" s="10">
        <v>49.442100000000003</v>
      </c>
      <c r="FY45" s="10">
        <v>43.378300000000003</v>
      </c>
      <c r="FZ45" s="10">
        <v>16.378299999999999</v>
      </c>
      <c r="GA45" s="10">
        <v>0.23449999999999999</v>
      </c>
      <c r="GB45" s="10">
        <v>0.50197000000000003</v>
      </c>
      <c r="GC45" s="10">
        <v>371.51670000000001</v>
      </c>
      <c r="GD45" s="10">
        <v>448.55059999999997</v>
      </c>
      <c r="GE45" s="10">
        <v>313.1198</v>
      </c>
      <c r="GF45" s="10">
        <v>10.327299999999999</v>
      </c>
      <c r="GG45" s="10">
        <v>5.8170999999999999</v>
      </c>
      <c r="GH45" s="10">
        <v>2.3633999999999999</v>
      </c>
      <c r="GI45" s="10">
        <v>1.0954999999999999</v>
      </c>
      <c r="GJ45" s="10">
        <v>55.617100000000001</v>
      </c>
      <c r="GK45" s="10">
        <v>45.0824</v>
      </c>
      <c r="GL45" s="10">
        <v>48.140700000000002</v>
      </c>
      <c r="GM45" s="10">
        <v>224.03049999999999</v>
      </c>
      <c r="GN45" s="10">
        <v>2.2854999999999999</v>
      </c>
      <c r="GO45" s="10">
        <v>3.0396000000000001</v>
      </c>
      <c r="GP45" s="10">
        <v>182.4845</v>
      </c>
      <c r="GQ45" s="11"/>
      <c r="GR45" s="10">
        <v>1.1589</v>
      </c>
      <c r="GS45" s="10">
        <v>8.7936E-2</v>
      </c>
      <c r="GT45" s="10">
        <v>26.57</v>
      </c>
      <c r="GU45" s="10">
        <v>20.545300000000001</v>
      </c>
      <c r="GV45" s="10">
        <v>213.48609999999999</v>
      </c>
      <c r="GW45" s="10">
        <v>37.9998</v>
      </c>
      <c r="GX45" s="10">
        <v>7.3279999999999998E-2</v>
      </c>
      <c r="GY45" s="10">
        <v>7.3280000000000003E-3</v>
      </c>
      <c r="GZ45" s="10">
        <v>1.4175</v>
      </c>
      <c r="HA45" s="10">
        <v>303.55919999999998</v>
      </c>
      <c r="HB45" s="10">
        <v>100.592</v>
      </c>
      <c r="HC45" s="10">
        <v>576.19539999999995</v>
      </c>
      <c r="HD45" s="10">
        <v>5900.4366</v>
      </c>
      <c r="HE45" s="10">
        <v>5.0305999999999997</v>
      </c>
      <c r="HF45" s="10">
        <v>122.5864</v>
      </c>
      <c r="HG45" s="10">
        <v>8.7936E-2</v>
      </c>
      <c r="HH45" s="10">
        <v>171.9742</v>
      </c>
      <c r="HI45" s="10">
        <v>59.529200000000003</v>
      </c>
      <c r="HJ45" s="10">
        <v>1.4656000000000001E-2</v>
      </c>
      <c r="HK45" s="11"/>
      <c r="HL45" s="10">
        <v>16.0167</v>
      </c>
      <c r="HM45" s="10">
        <v>1.8849</v>
      </c>
      <c r="HN45" s="10">
        <v>12.5092</v>
      </c>
      <c r="HO45" s="10">
        <f t="shared" si="3"/>
        <v>24554.700190000003</v>
      </c>
      <c r="HP45" s="10">
        <f t="shared" si="4"/>
        <v>24.554700190000002</v>
      </c>
      <c r="HQ45" s="10">
        <f t="shared" si="5"/>
        <v>6.6961276765748581</v>
      </c>
      <c r="HR45" s="11"/>
      <c r="HS45" s="11"/>
      <c r="HT45" s="11"/>
      <c r="HU45" s="11"/>
      <c r="HV45" s="11"/>
      <c r="HW45" s="11"/>
    </row>
    <row r="46" spans="1:231" ht="19.95" customHeight="1">
      <c r="A46" s="8">
        <v>2002</v>
      </c>
      <c r="B46" s="9">
        <v>1.0516000000000001</v>
      </c>
      <c r="C46" s="10">
        <v>3.7483</v>
      </c>
      <c r="D46" s="10">
        <v>89.406700000000001</v>
      </c>
      <c r="E46" s="10">
        <v>0.53127999999999997</v>
      </c>
      <c r="F46" s="10">
        <v>12.5975</v>
      </c>
      <c r="G46" s="10">
        <v>9.5264000000000001E-2</v>
      </c>
      <c r="H46" s="10">
        <v>0.32976</v>
      </c>
      <c r="I46" s="10">
        <v>124.39230000000001</v>
      </c>
      <c r="J46" s="10">
        <v>3.0768</v>
      </c>
      <c r="K46" s="10">
        <v>2.4365999999999999</v>
      </c>
      <c r="L46" s="10">
        <v>362.20949999999999</v>
      </c>
      <c r="M46" s="10">
        <v>71.918800000000005</v>
      </c>
      <c r="N46" s="10">
        <v>29.6419</v>
      </c>
      <c r="O46" s="10">
        <v>1.9273</v>
      </c>
      <c r="P46" s="10">
        <v>15.867699999999999</v>
      </c>
      <c r="Q46" s="10">
        <v>31.980799999999999</v>
      </c>
      <c r="R46" s="10">
        <v>1.1996</v>
      </c>
      <c r="S46" s="10">
        <v>55.0777</v>
      </c>
      <c r="T46" s="10">
        <v>126.87860000000001</v>
      </c>
      <c r="U46" s="10">
        <v>0.43235000000000001</v>
      </c>
      <c r="V46" s="10">
        <v>2.0531999999999999</v>
      </c>
      <c r="W46" s="10">
        <v>0.55693000000000004</v>
      </c>
      <c r="X46" s="10">
        <v>0.40171000000000001</v>
      </c>
      <c r="Y46" s="10">
        <v>10.328099999999999</v>
      </c>
      <c r="Z46" s="10">
        <v>0.24767</v>
      </c>
      <c r="AA46" s="10">
        <v>14.172599999999999</v>
      </c>
      <c r="AB46" s="10">
        <v>3.9754</v>
      </c>
      <c r="AC46" s="10">
        <v>327.4348</v>
      </c>
      <c r="AD46" s="10">
        <v>0.13557</v>
      </c>
      <c r="AE46" s="10">
        <v>4.2538999999999998</v>
      </c>
      <c r="AF46" s="10">
        <v>46.258600000000001</v>
      </c>
      <c r="AG46" s="10">
        <v>1.0011000000000001</v>
      </c>
      <c r="AH46" s="10">
        <v>0.21251</v>
      </c>
      <c r="AI46" s="10">
        <v>2.2057000000000002</v>
      </c>
      <c r="AJ46" s="10">
        <v>3.3239999999999998</v>
      </c>
      <c r="AK46" s="10">
        <v>570.84479999999996</v>
      </c>
      <c r="AL46" s="10">
        <v>0.27479999999999999</v>
      </c>
      <c r="AM46" s="11"/>
      <c r="AN46" s="10">
        <v>0.24549000000000001</v>
      </c>
      <c r="AO46" s="10">
        <v>0.50929999999999997</v>
      </c>
      <c r="AP46" s="10">
        <v>54.490299999999998</v>
      </c>
      <c r="AQ46" s="10">
        <v>3782.4393</v>
      </c>
      <c r="AR46" s="10">
        <v>55.430399999999999</v>
      </c>
      <c r="AS46" s="10">
        <v>0.10259</v>
      </c>
      <c r="AT46" s="10">
        <v>0.57525000000000004</v>
      </c>
      <c r="AU46" s="10">
        <v>2.1984E-2</v>
      </c>
      <c r="AV46" s="10">
        <v>6.2447999999999997</v>
      </c>
      <c r="AW46" s="10">
        <v>6.9579000000000004</v>
      </c>
      <c r="AX46" s="10">
        <v>21.912700000000001</v>
      </c>
      <c r="AY46" s="10">
        <v>25.965599999999998</v>
      </c>
      <c r="AZ46" s="10">
        <v>4.7057000000000002</v>
      </c>
      <c r="BA46" s="10">
        <v>7.2107999999999999</v>
      </c>
      <c r="BB46" s="10">
        <v>123.8956</v>
      </c>
      <c r="BC46" s="10">
        <v>0.84996000000000005</v>
      </c>
      <c r="BD46" s="10">
        <v>55.5274</v>
      </c>
      <c r="BE46" s="10">
        <v>0.39938000000000001</v>
      </c>
      <c r="BF46" s="10">
        <v>0.10259</v>
      </c>
      <c r="BG46" s="10">
        <v>21.462399999999999</v>
      </c>
      <c r="BH46" s="10">
        <v>24.7531</v>
      </c>
      <c r="BI46" s="10">
        <v>125.7814</v>
      </c>
      <c r="BJ46" s="10">
        <v>6.0736999999999997</v>
      </c>
      <c r="BK46" s="10">
        <v>6.1811999999999996</v>
      </c>
      <c r="BL46" s="10">
        <v>0.60026999999999997</v>
      </c>
      <c r="BM46" s="10">
        <v>15.0905</v>
      </c>
      <c r="BN46" s="10">
        <v>4.4305000000000003</v>
      </c>
      <c r="BO46" s="10">
        <v>0.72546999999999995</v>
      </c>
      <c r="BP46" s="11"/>
      <c r="BQ46" s="10">
        <v>0.87944999999999995</v>
      </c>
      <c r="BR46" s="10">
        <v>65.059799999999996</v>
      </c>
      <c r="BS46" s="10">
        <v>415.8383</v>
      </c>
      <c r="BT46" s="11"/>
      <c r="BU46" s="10">
        <v>0.68516999999999995</v>
      </c>
      <c r="BV46" s="10">
        <v>4.5439999999999996</v>
      </c>
      <c r="BW46" s="10">
        <v>0.30044999999999999</v>
      </c>
      <c r="BX46" s="10">
        <v>3.3513999999999999</v>
      </c>
      <c r="BY46" s="10">
        <v>899.8211</v>
      </c>
      <c r="BZ46" s="10">
        <v>7.2314999999999996</v>
      </c>
      <c r="CA46" s="11"/>
      <c r="CB46" s="10">
        <v>105.021</v>
      </c>
      <c r="CC46" s="10">
        <v>0.37739</v>
      </c>
      <c r="CD46" s="10">
        <v>0.20518</v>
      </c>
      <c r="CE46" s="11"/>
      <c r="CF46" s="10">
        <v>10.7216</v>
      </c>
      <c r="CG46" s="10">
        <v>1.6232</v>
      </c>
      <c r="CH46" s="10">
        <v>0.15389</v>
      </c>
      <c r="CI46" s="10">
        <v>1.7148000000000001</v>
      </c>
      <c r="CJ46" s="10">
        <v>1.8022</v>
      </c>
      <c r="CK46" s="10">
        <v>5.9130000000000003</v>
      </c>
      <c r="CL46" s="10">
        <v>39.484999999999999</v>
      </c>
      <c r="CM46" s="10">
        <v>59.197000000000003</v>
      </c>
      <c r="CN46" s="10">
        <v>3.0005000000000002</v>
      </c>
      <c r="CO46" s="10">
        <v>1022.8437</v>
      </c>
      <c r="CP46" s="10">
        <v>307.36149999999998</v>
      </c>
      <c r="CQ46" s="10">
        <v>397.79829999999998</v>
      </c>
      <c r="CR46" s="10">
        <v>86.320899999999995</v>
      </c>
      <c r="CS46" s="10">
        <v>46.082000000000001</v>
      </c>
      <c r="CT46" s="10">
        <v>59.299700000000001</v>
      </c>
      <c r="CU46" s="10">
        <v>476.25119999999998</v>
      </c>
      <c r="CV46" s="10">
        <v>10.2026</v>
      </c>
      <c r="CW46" s="10">
        <v>1279.453</v>
      </c>
      <c r="CX46" s="10">
        <v>16.4207</v>
      </c>
      <c r="CY46" s="10">
        <v>160.80420000000001</v>
      </c>
      <c r="CZ46" s="10">
        <v>7.8196000000000003</v>
      </c>
      <c r="DA46" s="10">
        <v>4.0304E-2</v>
      </c>
      <c r="DB46" s="11"/>
      <c r="DC46" s="10">
        <v>57.979900000000001</v>
      </c>
      <c r="DD46" s="10">
        <v>4.9192999999999998</v>
      </c>
      <c r="DE46" s="10">
        <v>1.1632</v>
      </c>
      <c r="DF46" s="10">
        <v>7.5026000000000002</v>
      </c>
      <c r="DG46" s="10">
        <v>16.244499999999999</v>
      </c>
      <c r="DH46" s="10">
        <v>1.9053</v>
      </c>
      <c r="DI46" s="10">
        <v>0.43468000000000001</v>
      </c>
      <c r="DJ46" s="10">
        <v>47.472200000000001</v>
      </c>
      <c r="DK46" s="10">
        <v>0.22001000000000001</v>
      </c>
      <c r="DL46" s="10">
        <v>12.69</v>
      </c>
      <c r="DM46" s="10">
        <v>10.003</v>
      </c>
      <c r="DN46" s="10">
        <v>1.5168999999999999</v>
      </c>
      <c r="DO46" s="10">
        <v>1.2319</v>
      </c>
      <c r="DP46" s="10">
        <v>0.84665000000000001</v>
      </c>
      <c r="DQ46" s="10">
        <v>136.3381</v>
      </c>
      <c r="DR46" s="10">
        <v>0.59357000000000004</v>
      </c>
      <c r="DS46" s="10">
        <v>0.85738000000000003</v>
      </c>
      <c r="DT46" s="10">
        <v>2.7075</v>
      </c>
      <c r="DU46" s="10">
        <v>0.10992</v>
      </c>
      <c r="DV46" s="11"/>
      <c r="DW46" s="10">
        <v>1.2494000000000001</v>
      </c>
      <c r="DX46" s="10">
        <v>2.8835999999999999</v>
      </c>
      <c r="DY46" s="10">
        <v>411.96769999999998</v>
      </c>
      <c r="DZ46" s="10">
        <v>0.13557</v>
      </c>
      <c r="EA46" s="10">
        <v>4.0517000000000003</v>
      </c>
      <c r="EB46" s="10">
        <v>8.2624999999999993</v>
      </c>
      <c r="EC46" s="10">
        <v>1.7662</v>
      </c>
      <c r="ED46" s="10">
        <v>3.6639999999999999E-2</v>
      </c>
      <c r="EE46" s="10">
        <v>38.107399999999998</v>
      </c>
      <c r="EF46" s="10">
        <v>1.5386</v>
      </c>
      <c r="EG46" s="10">
        <v>9.1538000000000004</v>
      </c>
      <c r="EH46" s="10">
        <v>1.7586999999999999</v>
      </c>
      <c r="EI46" s="10">
        <v>7.6943999999999999E-2</v>
      </c>
      <c r="EJ46" s="10">
        <v>2.5951</v>
      </c>
      <c r="EK46" s="10">
        <v>176.113</v>
      </c>
      <c r="EL46" s="10">
        <v>2.3934000000000002</v>
      </c>
      <c r="EM46" s="10">
        <v>34.638100000000001</v>
      </c>
      <c r="EN46" s="10">
        <v>3.9908000000000001</v>
      </c>
      <c r="EO46" s="10">
        <v>0.69481000000000004</v>
      </c>
      <c r="EP46" s="10">
        <v>94.304699999999997</v>
      </c>
      <c r="EQ46" s="10">
        <v>7.3280000000000003E-3</v>
      </c>
      <c r="ER46" s="10">
        <v>68.642899999999997</v>
      </c>
      <c r="ES46" s="10">
        <v>10.8674</v>
      </c>
      <c r="ET46" s="10">
        <v>42.985700000000001</v>
      </c>
      <c r="EU46" s="10">
        <v>1.1541999999999999</v>
      </c>
      <c r="EV46" s="10">
        <v>25.234400000000001</v>
      </c>
      <c r="EW46" s="10">
        <v>112.9036</v>
      </c>
      <c r="EX46" s="10">
        <v>0.21251</v>
      </c>
      <c r="EY46" s="10">
        <v>5.8109000000000002</v>
      </c>
      <c r="EZ46" s="10">
        <v>3.4845000000000002</v>
      </c>
      <c r="FA46" s="10">
        <v>3.8573</v>
      </c>
      <c r="FB46" s="10">
        <v>26.930599999999998</v>
      </c>
      <c r="FC46" s="10">
        <v>70.155100000000004</v>
      </c>
      <c r="FD46" s="10">
        <v>306.4033</v>
      </c>
      <c r="FE46" s="10">
        <v>69.556100000000001</v>
      </c>
      <c r="FF46" s="10">
        <v>40.701900000000002</v>
      </c>
      <c r="FG46" s="10">
        <v>0.67432000000000003</v>
      </c>
      <c r="FH46" s="11"/>
      <c r="FI46" s="10">
        <v>101.7353</v>
      </c>
      <c r="FJ46" s="10">
        <v>1495.4836</v>
      </c>
      <c r="FK46" s="10">
        <v>0.51949999999999996</v>
      </c>
      <c r="FL46" s="10">
        <v>1.0992E-2</v>
      </c>
      <c r="FM46" s="10">
        <v>0.19786000000000001</v>
      </c>
      <c r="FN46" s="10">
        <v>0.28946</v>
      </c>
      <c r="FO46" s="10">
        <v>5.8624000000000002E-2</v>
      </c>
      <c r="FP46" s="10">
        <v>0.18686</v>
      </c>
      <c r="FQ46" s="10">
        <v>0.14656</v>
      </c>
      <c r="FR46" s="10">
        <v>5.8624000000000002E-2</v>
      </c>
      <c r="FS46" s="10">
        <v>325.68119999999999</v>
      </c>
      <c r="FT46" s="10">
        <v>4.4368999999999996</v>
      </c>
      <c r="FU46" s="10">
        <v>52.146999999999998</v>
      </c>
      <c r="FV46" s="10">
        <v>0.53861000000000003</v>
      </c>
      <c r="FW46" s="10">
        <v>0.53456000000000004</v>
      </c>
      <c r="FX46" s="10">
        <v>47.172699999999999</v>
      </c>
      <c r="FY46" s="10">
        <v>42.112400000000001</v>
      </c>
      <c r="FZ46" s="10">
        <v>16.525300000000001</v>
      </c>
      <c r="GA46" s="10">
        <v>0.24549000000000001</v>
      </c>
      <c r="GB46" s="10">
        <v>0.58623999999999998</v>
      </c>
      <c r="GC46" s="10">
        <v>356.35739999999998</v>
      </c>
      <c r="GD46" s="10">
        <v>463.62799999999999</v>
      </c>
      <c r="GE46" s="10">
        <v>333.37950000000001</v>
      </c>
      <c r="GF46" s="10">
        <v>10.9467</v>
      </c>
      <c r="GG46" s="10">
        <v>7.4179000000000004</v>
      </c>
      <c r="GH46" s="10">
        <v>1.5606</v>
      </c>
      <c r="GI46" s="10">
        <v>1.0809</v>
      </c>
      <c r="GJ46" s="10">
        <v>56.572499999999998</v>
      </c>
      <c r="GK46" s="10">
        <v>43.467599999999997</v>
      </c>
      <c r="GL46" s="10">
        <v>38.438600000000001</v>
      </c>
      <c r="GM46" s="10">
        <v>235.36009999999999</v>
      </c>
      <c r="GN46" s="10">
        <v>1.8729</v>
      </c>
      <c r="GO46" s="10">
        <v>3.4870000000000001</v>
      </c>
      <c r="GP46" s="10">
        <v>192.05439999999999</v>
      </c>
      <c r="GQ46" s="10">
        <v>0.16122</v>
      </c>
      <c r="GR46" s="10">
        <v>1.3225</v>
      </c>
      <c r="GS46" s="10">
        <v>0.10259</v>
      </c>
      <c r="GT46" s="10">
        <v>28.590599999999998</v>
      </c>
      <c r="GU46" s="10">
        <v>20.558599999999998</v>
      </c>
      <c r="GV46" s="10">
        <v>220.9777</v>
      </c>
      <c r="GW46" s="10">
        <v>39.889600000000002</v>
      </c>
      <c r="GX46" s="10">
        <v>9.8928000000000002E-2</v>
      </c>
      <c r="GY46" s="10">
        <v>1.0992E-2</v>
      </c>
      <c r="GZ46" s="10">
        <v>1.4460999999999999</v>
      </c>
      <c r="HA46" s="10">
        <v>295.67349999999999</v>
      </c>
      <c r="HB46" s="10">
        <v>83.697999999999993</v>
      </c>
      <c r="HC46" s="10">
        <v>560.30060000000003</v>
      </c>
      <c r="HD46" s="10">
        <v>5942.6522999999997</v>
      </c>
      <c r="HE46" s="10">
        <v>4.5576999999999996</v>
      </c>
      <c r="HF46" s="10">
        <v>127.5183</v>
      </c>
      <c r="HG46" s="10">
        <v>8.4272E-2</v>
      </c>
      <c r="HH46" s="10">
        <v>192.74639999999999</v>
      </c>
      <c r="HI46" s="10">
        <v>68.661299999999997</v>
      </c>
      <c r="HJ46" s="10">
        <v>2.5648000000000001E-2</v>
      </c>
      <c r="HK46" s="11"/>
      <c r="HL46" s="10">
        <v>15.5535</v>
      </c>
      <c r="HM46" s="10">
        <v>1.9601</v>
      </c>
      <c r="HN46" s="10">
        <v>11.897</v>
      </c>
      <c r="HO46" s="10">
        <f t="shared" si="3"/>
        <v>25115.607624000011</v>
      </c>
      <c r="HP46" s="10">
        <f t="shared" si="4"/>
        <v>25.11560762400001</v>
      </c>
      <c r="HQ46" s="10">
        <f t="shared" si="5"/>
        <v>6.8490885257703873</v>
      </c>
      <c r="HR46" s="11"/>
      <c r="HS46" s="11"/>
      <c r="HT46" s="11"/>
      <c r="HU46" s="11"/>
      <c r="HV46" s="11"/>
      <c r="HW46" s="11"/>
    </row>
    <row r="47" spans="1:231" ht="19.95" customHeight="1">
      <c r="A47" s="8">
        <v>2003</v>
      </c>
      <c r="B47" s="9">
        <v>1.1859999999999999</v>
      </c>
      <c r="C47" s="10">
        <v>4.2319000000000004</v>
      </c>
      <c r="D47" s="10">
        <v>91.048199999999994</v>
      </c>
      <c r="E47" s="10">
        <v>0.53493999999999997</v>
      </c>
      <c r="F47" s="10">
        <v>8.9884000000000004</v>
      </c>
      <c r="G47" s="10">
        <v>0.10259</v>
      </c>
      <c r="H47" s="10">
        <v>0.35174</v>
      </c>
      <c r="I47" s="10">
        <v>134.631</v>
      </c>
      <c r="J47" s="10">
        <v>3.4556</v>
      </c>
      <c r="K47" s="10">
        <v>2.5611000000000002</v>
      </c>
      <c r="L47" s="10">
        <v>369.726</v>
      </c>
      <c r="M47" s="10">
        <v>77.554299999999998</v>
      </c>
      <c r="N47" s="10">
        <v>30.6267</v>
      </c>
      <c r="O47" s="10">
        <v>1.9639</v>
      </c>
      <c r="P47" s="10">
        <v>16.770600000000002</v>
      </c>
      <c r="Q47" s="10">
        <v>33.4589</v>
      </c>
      <c r="R47" s="10">
        <v>1.2453000000000001</v>
      </c>
      <c r="S47" s="10">
        <v>56.484999999999999</v>
      </c>
      <c r="T47" s="10">
        <v>128.27529999999999</v>
      </c>
      <c r="U47" s="10">
        <v>0.43235000000000001</v>
      </c>
      <c r="V47" s="10">
        <v>2.3275999999999999</v>
      </c>
      <c r="W47" s="10">
        <v>0.56059000000000003</v>
      </c>
      <c r="X47" s="10">
        <v>0.36113000000000001</v>
      </c>
      <c r="Y47" s="10">
        <v>11.011200000000001</v>
      </c>
      <c r="Z47" s="10">
        <v>0.24782999999999999</v>
      </c>
      <c r="AA47" s="10">
        <v>14.350199999999999</v>
      </c>
      <c r="AB47" s="10">
        <v>3.8252000000000002</v>
      </c>
      <c r="AC47" s="10">
        <v>317.50830000000002</v>
      </c>
      <c r="AD47" s="10">
        <v>0.14656</v>
      </c>
      <c r="AE47" s="10">
        <v>4.4702000000000002</v>
      </c>
      <c r="AF47" s="10">
        <v>50.509700000000002</v>
      </c>
      <c r="AG47" s="10">
        <v>1.0743</v>
      </c>
      <c r="AH47" s="10">
        <v>0.16122</v>
      </c>
      <c r="AI47" s="10">
        <v>2.3778999999999999</v>
      </c>
      <c r="AJ47" s="10">
        <v>3.6985000000000001</v>
      </c>
      <c r="AK47" s="10">
        <v>587.17809999999997</v>
      </c>
      <c r="AL47" s="10">
        <v>0.30778</v>
      </c>
      <c r="AM47" s="11"/>
      <c r="AN47" s="10">
        <v>0.23449999999999999</v>
      </c>
      <c r="AO47" s="10">
        <v>0.74378999999999995</v>
      </c>
      <c r="AP47" s="10">
        <v>54.8842</v>
      </c>
      <c r="AQ47" s="10">
        <v>4452.3103000000001</v>
      </c>
      <c r="AR47" s="10">
        <v>57.093899999999998</v>
      </c>
      <c r="AS47" s="10">
        <v>0.13189999999999999</v>
      </c>
      <c r="AT47" s="10">
        <v>0.91600000000000004</v>
      </c>
      <c r="AU47" s="10">
        <v>2.9312000000000001E-2</v>
      </c>
      <c r="AV47" s="10">
        <v>6.5831999999999997</v>
      </c>
      <c r="AW47" s="10">
        <v>5.1330999999999998</v>
      </c>
      <c r="AX47" s="10">
        <v>23.2682</v>
      </c>
      <c r="AY47" s="10">
        <v>25.3551</v>
      </c>
      <c r="AZ47" s="10">
        <v>4.7088000000000001</v>
      </c>
      <c r="BA47" s="10">
        <v>7.6055999999999999</v>
      </c>
      <c r="BB47" s="10">
        <v>127.3828</v>
      </c>
      <c r="BC47" s="10">
        <v>1.0371999999999999</v>
      </c>
      <c r="BD47" s="10">
        <v>60.613700000000001</v>
      </c>
      <c r="BE47" s="10">
        <v>0.42136000000000001</v>
      </c>
      <c r="BF47" s="10">
        <v>0.11724999999999999</v>
      </c>
      <c r="BG47" s="10">
        <v>21.622699999999998</v>
      </c>
      <c r="BH47" s="10">
        <v>26.747800000000002</v>
      </c>
      <c r="BI47" s="10">
        <v>146.46209999999999</v>
      </c>
      <c r="BJ47" s="10">
        <v>6.4343000000000004</v>
      </c>
      <c r="BK47" s="10">
        <v>6.6612</v>
      </c>
      <c r="BL47" s="10">
        <v>0.71011999999999997</v>
      </c>
      <c r="BM47" s="10">
        <v>16.937200000000001</v>
      </c>
      <c r="BN47" s="10">
        <v>4.8711000000000002</v>
      </c>
      <c r="BO47" s="10">
        <v>0.73280000000000001</v>
      </c>
      <c r="BP47" s="11"/>
      <c r="BQ47" s="10">
        <v>1.0361</v>
      </c>
      <c r="BR47" s="10">
        <v>72.657799999999995</v>
      </c>
      <c r="BS47" s="10">
        <v>422.64120000000003</v>
      </c>
      <c r="BT47" s="11"/>
      <c r="BU47" s="10">
        <v>0.74012999999999995</v>
      </c>
      <c r="BV47" s="10">
        <v>4.6132</v>
      </c>
      <c r="BW47" s="10">
        <v>0.30044999999999999</v>
      </c>
      <c r="BX47" s="10">
        <v>3.7355</v>
      </c>
      <c r="BY47" s="10">
        <v>900.8664</v>
      </c>
      <c r="BZ47" s="10">
        <v>7.4372999999999996</v>
      </c>
      <c r="CA47" s="11"/>
      <c r="CB47" s="10">
        <v>109.0898</v>
      </c>
      <c r="CC47" s="10">
        <v>0.42869000000000002</v>
      </c>
      <c r="CD47" s="10">
        <v>0.21618000000000001</v>
      </c>
      <c r="CE47" s="11"/>
      <c r="CF47" s="10">
        <v>10.447900000000001</v>
      </c>
      <c r="CG47" s="10">
        <v>1.7000999999999999</v>
      </c>
      <c r="CH47" s="10">
        <v>0.19419</v>
      </c>
      <c r="CI47" s="10">
        <v>1.8575999999999999</v>
      </c>
      <c r="CJ47" s="10">
        <v>1.7097</v>
      </c>
      <c r="CK47" s="10">
        <v>6.6642999999999999</v>
      </c>
      <c r="CL47" s="10">
        <v>43.203400000000002</v>
      </c>
      <c r="CM47" s="10">
        <v>61.981499999999997</v>
      </c>
      <c r="CN47" s="10">
        <v>2.9946000000000002</v>
      </c>
      <c r="CO47" s="10">
        <v>1059.4104</v>
      </c>
      <c r="CP47" s="10">
        <v>316.65469999999999</v>
      </c>
      <c r="CQ47" s="10">
        <v>413.99349999999998</v>
      </c>
      <c r="CR47" s="10">
        <v>90.786600000000007</v>
      </c>
      <c r="CS47" s="10">
        <v>45.683999999999997</v>
      </c>
      <c r="CT47" s="10">
        <v>62.414700000000003</v>
      </c>
      <c r="CU47" s="10">
        <v>494.18329999999997</v>
      </c>
      <c r="CV47" s="10">
        <v>10.6671</v>
      </c>
      <c r="CW47" s="10">
        <v>1287.6422</v>
      </c>
      <c r="CX47" s="10">
        <v>16.981999999999999</v>
      </c>
      <c r="CY47" s="10">
        <v>178.77459999999999</v>
      </c>
      <c r="CZ47" s="10">
        <v>6.5856000000000003</v>
      </c>
      <c r="DA47" s="10">
        <v>4.3968E-2</v>
      </c>
      <c r="DB47" s="11"/>
      <c r="DC47" s="10">
        <v>59.622900000000001</v>
      </c>
      <c r="DD47" s="10">
        <v>5.3815999999999997</v>
      </c>
      <c r="DE47" s="10">
        <v>1.2170000000000001</v>
      </c>
      <c r="DF47" s="10">
        <v>7.7225999999999999</v>
      </c>
      <c r="DG47" s="10">
        <v>18.5276</v>
      </c>
      <c r="DH47" s="10">
        <v>1.9309000000000001</v>
      </c>
      <c r="DI47" s="10">
        <v>0.46681</v>
      </c>
      <c r="DJ47" s="10">
        <v>48.780999999999999</v>
      </c>
      <c r="DK47" s="10">
        <v>0.22935</v>
      </c>
      <c r="DL47" s="10">
        <v>12.6799</v>
      </c>
      <c r="DM47" s="10">
        <v>10.476000000000001</v>
      </c>
      <c r="DN47" s="10">
        <v>1.5316000000000001</v>
      </c>
      <c r="DO47" s="10">
        <v>1.6805000000000001</v>
      </c>
      <c r="DP47" s="10">
        <v>0.90368000000000004</v>
      </c>
      <c r="DQ47" s="10">
        <v>157.2664</v>
      </c>
      <c r="DR47" s="10">
        <v>0.50563000000000002</v>
      </c>
      <c r="DS47" s="10">
        <v>0.85738000000000003</v>
      </c>
      <c r="DT47" s="10">
        <v>2.9792999999999998</v>
      </c>
      <c r="DU47" s="10">
        <v>0.10625999999999999</v>
      </c>
      <c r="DV47" s="11"/>
      <c r="DW47" s="10">
        <v>1.2897000000000001</v>
      </c>
      <c r="DX47" s="10">
        <v>3.0594000000000001</v>
      </c>
      <c r="DY47" s="10">
        <v>437.75749999999999</v>
      </c>
      <c r="DZ47" s="10">
        <v>0.14656</v>
      </c>
      <c r="EA47" s="10">
        <v>4.4043000000000001</v>
      </c>
      <c r="EB47" s="10">
        <v>8.0078999999999994</v>
      </c>
      <c r="EC47" s="10">
        <v>1.8892</v>
      </c>
      <c r="ED47" s="10">
        <v>3.6639999999999999E-2</v>
      </c>
      <c r="EE47" s="10">
        <v>37.531500000000001</v>
      </c>
      <c r="EF47" s="10">
        <v>1.8567</v>
      </c>
      <c r="EG47" s="10">
        <v>9.7802000000000007</v>
      </c>
      <c r="EH47" s="10">
        <v>1.8723000000000001</v>
      </c>
      <c r="EI47" s="10">
        <v>6.5951999999999997E-2</v>
      </c>
      <c r="EJ47" s="10">
        <v>2.81</v>
      </c>
      <c r="EK47" s="10">
        <v>179.565</v>
      </c>
      <c r="EL47" s="10">
        <v>2.7267000000000001</v>
      </c>
      <c r="EM47" s="10">
        <v>36.351900000000001</v>
      </c>
      <c r="EN47" s="10">
        <v>4.3353000000000002</v>
      </c>
      <c r="EO47" s="10">
        <v>0.75336999999999998</v>
      </c>
      <c r="EP47" s="10">
        <v>100.0086</v>
      </c>
      <c r="EQ47" s="10">
        <v>3.6640000000000002E-3</v>
      </c>
      <c r="ER47" s="10">
        <v>70.136499999999998</v>
      </c>
      <c r="ES47" s="10">
        <v>11.2265</v>
      </c>
      <c r="ET47" s="10">
        <v>44.305700000000002</v>
      </c>
      <c r="EU47" s="10">
        <v>1.2786999999999999</v>
      </c>
      <c r="EV47" s="10">
        <v>32.027500000000003</v>
      </c>
      <c r="EW47" s="10">
        <v>117.4907</v>
      </c>
      <c r="EX47" s="10">
        <v>0.21251</v>
      </c>
      <c r="EY47" s="10">
        <v>6.0903</v>
      </c>
      <c r="EZ47" s="10">
        <v>3.9424999999999999</v>
      </c>
      <c r="FA47" s="10">
        <v>4.0315000000000003</v>
      </c>
      <c r="FB47" s="10">
        <v>26.104600000000001</v>
      </c>
      <c r="FC47" s="10">
        <v>70.214699999999993</v>
      </c>
      <c r="FD47" s="10">
        <v>319.40609999999998</v>
      </c>
      <c r="FE47" s="10">
        <v>64.419300000000007</v>
      </c>
      <c r="FF47" s="10">
        <v>41.299399999999999</v>
      </c>
      <c r="FG47" s="10">
        <v>0.75334999999999996</v>
      </c>
      <c r="FH47" s="11"/>
      <c r="FI47" s="10">
        <v>105.29519999999999</v>
      </c>
      <c r="FJ47" s="10">
        <v>1525.39</v>
      </c>
      <c r="FK47" s="10">
        <v>0.50815999999999995</v>
      </c>
      <c r="FL47" s="10">
        <v>1.0992E-2</v>
      </c>
      <c r="FM47" s="10">
        <v>0.19786000000000001</v>
      </c>
      <c r="FN47" s="10">
        <v>0.37006</v>
      </c>
      <c r="FO47" s="10">
        <v>6.5951999999999997E-2</v>
      </c>
      <c r="FP47" s="10">
        <v>0.19786000000000001</v>
      </c>
      <c r="FQ47" s="10">
        <v>0.15389</v>
      </c>
      <c r="FR47" s="10">
        <v>6.5951999999999997E-2</v>
      </c>
      <c r="FS47" s="10">
        <v>326.51710000000003</v>
      </c>
      <c r="FT47" s="10">
        <v>4.9263000000000003</v>
      </c>
      <c r="FU47" s="10">
        <v>55.716000000000001</v>
      </c>
      <c r="FV47" s="10">
        <v>0.54959999999999998</v>
      </c>
      <c r="FW47" s="10">
        <v>0.56791999999999998</v>
      </c>
      <c r="FX47" s="10">
        <v>49.4968</v>
      </c>
      <c r="FY47" s="10">
        <v>42.438099999999999</v>
      </c>
      <c r="FZ47" s="10">
        <v>16.289000000000001</v>
      </c>
      <c r="GA47" s="10">
        <v>0.25647999999999999</v>
      </c>
      <c r="GB47" s="10">
        <v>0.59357000000000004</v>
      </c>
      <c r="GC47" s="10">
        <v>404.17309999999998</v>
      </c>
      <c r="GD47" s="10">
        <v>462.40730000000002</v>
      </c>
      <c r="GE47" s="10">
        <v>337.58890000000002</v>
      </c>
      <c r="GF47" s="10">
        <v>10.9521</v>
      </c>
      <c r="GG47" s="10">
        <v>8.2845999999999993</v>
      </c>
      <c r="GH47" s="10">
        <v>1.5383</v>
      </c>
      <c r="GI47" s="10">
        <v>1.0039</v>
      </c>
      <c r="GJ47" s="10">
        <v>57.160600000000002</v>
      </c>
      <c r="GK47" s="10">
        <v>44.651899999999998</v>
      </c>
      <c r="GL47" s="10">
        <v>53.581400000000002</v>
      </c>
      <c r="GM47" s="10">
        <v>241.6302</v>
      </c>
      <c r="GN47" s="10">
        <v>2.0621999999999998</v>
      </c>
      <c r="GO47" s="10">
        <v>3.6861999999999999</v>
      </c>
      <c r="GP47" s="10">
        <v>203.23740000000001</v>
      </c>
      <c r="GQ47" s="10">
        <v>0.16122</v>
      </c>
      <c r="GR47" s="10">
        <v>1.8047</v>
      </c>
      <c r="GS47" s="10">
        <v>0.11724999999999999</v>
      </c>
      <c r="GT47" s="10">
        <v>32.250500000000002</v>
      </c>
      <c r="GU47" s="10">
        <v>20.9255</v>
      </c>
      <c r="GV47" s="10">
        <v>236.48390000000001</v>
      </c>
      <c r="GW47" s="10">
        <v>44.520099999999999</v>
      </c>
      <c r="GX47" s="10">
        <v>0.10259</v>
      </c>
      <c r="GY47" s="10">
        <v>1.0992E-2</v>
      </c>
      <c r="GZ47" s="10">
        <v>1.5124</v>
      </c>
      <c r="HA47" s="10">
        <v>307.01749999999998</v>
      </c>
      <c r="HB47" s="10">
        <v>105.6185</v>
      </c>
      <c r="HC47" s="10">
        <v>571.77059999999994</v>
      </c>
      <c r="HD47" s="10">
        <v>5991.9596000000001</v>
      </c>
      <c r="HE47" s="10">
        <v>4.5278999999999998</v>
      </c>
      <c r="HF47" s="10">
        <v>125.93600000000001</v>
      </c>
      <c r="HG47" s="10">
        <v>8.4272E-2</v>
      </c>
      <c r="HH47" s="10">
        <v>191.45670000000001</v>
      </c>
      <c r="HI47" s="10">
        <v>76.277000000000001</v>
      </c>
      <c r="HJ47" s="10">
        <v>2.5648000000000001E-2</v>
      </c>
      <c r="HK47" s="11"/>
      <c r="HL47" s="10">
        <v>17.0825</v>
      </c>
      <c r="HM47" s="10">
        <v>2.0756000000000001</v>
      </c>
      <c r="HN47" s="10">
        <v>10.6083</v>
      </c>
      <c r="HO47" s="10">
        <f t="shared" si="3"/>
        <v>26345.787194</v>
      </c>
      <c r="HP47" s="10">
        <f t="shared" si="4"/>
        <v>26.345787194</v>
      </c>
      <c r="HQ47" s="10">
        <f t="shared" si="5"/>
        <v>7.1845615473138809</v>
      </c>
      <c r="HR47" s="11"/>
      <c r="HS47" s="11"/>
      <c r="HT47" s="11"/>
      <c r="HU47" s="11"/>
      <c r="HV47" s="11"/>
      <c r="HW47" s="11"/>
    </row>
    <row r="48" spans="1:231" ht="19.95" customHeight="1">
      <c r="A48" s="8">
        <v>2004</v>
      </c>
      <c r="B48" s="9">
        <v>0.88917000000000002</v>
      </c>
      <c r="C48" s="10">
        <v>4.1036999999999999</v>
      </c>
      <c r="D48" s="10">
        <v>87.853099999999998</v>
      </c>
      <c r="E48" s="10">
        <v>0.56059000000000003</v>
      </c>
      <c r="F48" s="10">
        <v>18.701899999999998</v>
      </c>
      <c r="G48" s="10">
        <v>0.12091</v>
      </c>
      <c r="H48" s="10">
        <v>0.3664</v>
      </c>
      <c r="I48" s="10">
        <v>157.04339999999999</v>
      </c>
      <c r="J48" s="10">
        <v>3.6911999999999998</v>
      </c>
      <c r="K48" s="10">
        <v>2.6160999999999999</v>
      </c>
      <c r="L48" s="10">
        <v>383.20510000000002</v>
      </c>
      <c r="M48" s="10">
        <v>77.674400000000006</v>
      </c>
      <c r="N48" s="10">
        <v>32.078099999999999</v>
      </c>
      <c r="O48" s="10">
        <v>1.9712000000000001</v>
      </c>
      <c r="P48" s="10">
        <v>17.8825</v>
      </c>
      <c r="Q48" s="10">
        <v>35.945</v>
      </c>
      <c r="R48" s="10">
        <v>1.2695000000000001</v>
      </c>
      <c r="S48" s="10">
        <v>60.076500000000003</v>
      </c>
      <c r="T48" s="10">
        <v>128.80529999999999</v>
      </c>
      <c r="U48" s="10">
        <v>0.39205000000000001</v>
      </c>
      <c r="V48" s="10">
        <v>2.4811000000000001</v>
      </c>
      <c r="W48" s="10">
        <v>0.58257999999999999</v>
      </c>
      <c r="X48" s="10">
        <v>0.29048000000000002</v>
      </c>
      <c r="Y48" s="10">
        <v>11.0183</v>
      </c>
      <c r="Z48" s="10">
        <v>0.26002999999999998</v>
      </c>
      <c r="AA48" s="10">
        <v>15.4625</v>
      </c>
      <c r="AB48" s="10">
        <v>3.8948</v>
      </c>
      <c r="AC48" s="10">
        <v>333.67509999999999</v>
      </c>
      <c r="AD48" s="10">
        <v>0.16122</v>
      </c>
      <c r="AE48" s="10">
        <v>4.8731</v>
      </c>
      <c r="AF48" s="10">
        <v>49.570700000000002</v>
      </c>
      <c r="AG48" s="10">
        <v>1.0999000000000001</v>
      </c>
      <c r="AH48" s="10">
        <v>0.19786000000000001</v>
      </c>
      <c r="AI48" s="10">
        <v>2.4439000000000002</v>
      </c>
      <c r="AJ48" s="10">
        <v>3.8500999999999999</v>
      </c>
      <c r="AK48" s="10">
        <v>585.70309999999995</v>
      </c>
      <c r="AL48" s="10">
        <v>0.32976</v>
      </c>
      <c r="AM48" s="11"/>
      <c r="AN48" s="10">
        <v>0.23449999999999999</v>
      </c>
      <c r="AO48" s="10">
        <v>0.74746000000000001</v>
      </c>
      <c r="AP48" s="10">
        <v>59.047499999999999</v>
      </c>
      <c r="AQ48" s="10">
        <v>5125.8944000000001</v>
      </c>
      <c r="AR48" s="10">
        <v>54.569299999999998</v>
      </c>
      <c r="AS48" s="10">
        <v>0.1429</v>
      </c>
      <c r="AT48" s="10">
        <v>0.94898000000000005</v>
      </c>
      <c r="AU48" s="10">
        <v>4.7632000000000001E-2</v>
      </c>
      <c r="AV48" s="10">
        <v>6.8415999999999997</v>
      </c>
      <c r="AW48" s="10">
        <v>7.3353000000000002</v>
      </c>
      <c r="AX48" s="10">
        <v>22.916799999999999</v>
      </c>
      <c r="AY48" s="10">
        <v>24.8659</v>
      </c>
      <c r="AZ48" s="10">
        <v>4.9405000000000001</v>
      </c>
      <c r="BA48" s="10">
        <v>7.8409000000000004</v>
      </c>
      <c r="BB48" s="10">
        <v>128.1138</v>
      </c>
      <c r="BC48" s="10">
        <v>1.1501999999999999</v>
      </c>
      <c r="BD48" s="10">
        <v>55.0657</v>
      </c>
      <c r="BE48" s="10">
        <v>0.40670000000000001</v>
      </c>
      <c r="BF48" s="10">
        <v>0.1429</v>
      </c>
      <c r="BG48" s="10">
        <v>17.842500000000001</v>
      </c>
      <c r="BH48" s="10">
        <v>28.785799999999998</v>
      </c>
      <c r="BI48" s="10">
        <v>149.1437</v>
      </c>
      <c r="BJ48" s="10">
        <v>6.2537000000000003</v>
      </c>
      <c r="BK48" s="10">
        <v>7.5185000000000004</v>
      </c>
      <c r="BL48" s="10">
        <v>0.76500999999999997</v>
      </c>
      <c r="BM48" s="10">
        <v>17.201000000000001</v>
      </c>
      <c r="BN48" s="10">
        <v>5.1585999999999999</v>
      </c>
      <c r="BO48" s="10">
        <v>0.74746000000000001</v>
      </c>
      <c r="BP48" s="11"/>
      <c r="BQ48" s="10">
        <v>1.34</v>
      </c>
      <c r="BR48" s="10">
        <v>68.960800000000006</v>
      </c>
      <c r="BS48" s="10">
        <v>423.63060000000002</v>
      </c>
      <c r="BT48" s="11"/>
      <c r="BU48" s="10">
        <v>0.72546999999999995</v>
      </c>
      <c r="BV48" s="10">
        <v>4.6567999999999996</v>
      </c>
      <c r="BW48" s="10">
        <v>0.32242999999999999</v>
      </c>
      <c r="BX48" s="10">
        <v>4.2762000000000002</v>
      </c>
      <c r="BY48" s="10">
        <v>886.96600000000001</v>
      </c>
      <c r="BZ48" s="10">
        <v>7.1520999999999999</v>
      </c>
      <c r="CA48" s="11"/>
      <c r="CB48" s="10">
        <v>109.5467</v>
      </c>
      <c r="CC48" s="10">
        <v>0.58257999999999999</v>
      </c>
      <c r="CD48" s="10">
        <v>0.20518</v>
      </c>
      <c r="CE48" s="11"/>
      <c r="CF48" s="10">
        <v>11.1797</v>
      </c>
      <c r="CG48" s="10">
        <v>1.7624</v>
      </c>
      <c r="CH48" s="10">
        <v>0.20152</v>
      </c>
      <c r="CI48" s="10">
        <v>1.9273</v>
      </c>
      <c r="CJ48" s="10">
        <v>1.9603999999999999</v>
      </c>
      <c r="CK48" s="10">
        <v>7.2469999999999999</v>
      </c>
      <c r="CL48" s="10">
        <v>41.568300000000001</v>
      </c>
      <c r="CM48" s="10">
        <v>60.489899999999999</v>
      </c>
      <c r="CN48" s="10">
        <v>3.1168999999999998</v>
      </c>
      <c r="CO48" s="10">
        <v>1125.2578000000001</v>
      </c>
      <c r="CP48" s="10">
        <v>339.84789999999998</v>
      </c>
      <c r="CQ48" s="10">
        <v>442.08969999999999</v>
      </c>
      <c r="CR48" s="10">
        <v>113.63500000000001</v>
      </c>
      <c r="CS48" s="10">
        <v>46.166899999999998</v>
      </c>
      <c r="CT48" s="10">
        <v>58.679200000000002</v>
      </c>
      <c r="CU48" s="10">
        <v>499.61939999999998</v>
      </c>
      <c r="CV48" s="10">
        <v>10.574199999999999</v>
      </c>
      <c r="CW48" s="10">
        <v>1282.8721</v>
      </c>
      <c r="CX48" s="10">
        <v>18.669499999999999</v>
      </c>
      <c r="CY48" s="10">
        <v>188.4759</v>
      </c>
      <c r="CZ48" s="10">
        <v>7.4379999999999997</v>
      </c>
      <c r="DA48" s="10">
        <v>4.7632000000000001E-2</v>
      </c>
      <c r="DB48" s="11"/>
      <c r="DC48" s="10">
        <v>63.107900000000001</v>
      </c>
      <c r="DD48" s="10">
        <v>5.8068</v>
      </c>
      <c r="DE48" s="10">
        <v>1.2787999999999999</v>
      </c>
      <c r="DF48" s="10">
        <v>7.7278000000000002</v>
      </c>
      <c r="DG48" s="10">
        <v>17.208100000000002</v>
      </c>
      <c r="DH48" s="10">
        <v>1.9822</v>
      </c>
      <c r="DI48" s="10">
        <v>0.54510999999999998</v>
      </c>
      <c r="DJ48" s="10">
        <v>49.955800000000004</v>
      </c>
      <c r="DK48" s="10">
        <v>0.22938</v>
      </c>
      <c r="DL48" s="10">
        <v>13.2723</v>
      </c>
      <c r="DM48" s="10">
        <v>11.8443</v>
      </c>
      <c r="DN48" s="10">
        <v>1.7148000000000001</v>
      </c>
      <c r="DO48" s="10">
        <v>1.7894000000000001</v>
      </c>
      <c r="DP48" s="10">
        <v>0.91151000000000004</v>
      </c>
      <c r="DQ48" s="10">
        <v>171.69460000000001</v>
      </c>
      <c r="DR48" s="10">
        <v>0.66685000000000005</v>
      </c>
      <c r="DS48" s="10">
        <v>0.89034999999999997</v>
      </c>
      <c r="DT48" s="10">
        <v>2.8464</v>
      </c>
      <c r="DU48" s="10">
        <v>0.11724999999999999</v>
      </c>
      <c r="DV48" s="11"/>
      <c r="DW48" s="10">
        <v>1.385</v>
      </c>
      <c r="DX48" s="10">
        <v>3.0888</v>
      </c>
      <c r="DY48" s="10">
        <v>438.85669999999999</v>
      </c>
      <c r="DZ48" s="10">
        <v>0.1429</v>
      </c>
      <c r="EA48" s="10">
        <v>4.6134000000000004</v>
      </c>
      <c r="EB48" s="10">
        <v>8.5707000000000004</v>
      </c>
      <c r="EC48" s="10">
        <v>2.0413000000000001</v>
      </c>
      <c r="ED48" s="10">
        <v>3.6639999999999999E-2</v>
      </c>
      <c r="EE48" s="10">
        <v>43.398800000000001</v>
      </c>
      <c r="EF48" s="10">
        <v>1.8645</v>
      </c>
      <c r="EG48" s="10">
        <v>12.3712</v>
      </c>
      <c r="EH48" s="10">
        <v>1.9601999999999999</v>
      </c>
      <c r="EI48" s="10">
        <v>6.5951999999999997E-2</v>
      </c>
      <c r="EJ48" s="10">
        <v>2.5829</v>
      </c>
      <c r="EK48" s="10">
        <v>181.3818</v>
      </c>
      <c r="EL48" s="10">
        <v>2.5160999999999998</v>
      </c>
      <c r="EM48" s="10">
        <v>35.940100000000001</v>
      </c>
      <c r="EN48" s="10">
        <v>4.3783000000000003</v>
      </c>
      <c r="EO48" s="10">
        <v>0.80823999999999996</v>
      </c>
      <c r="EP48" s="10">
        <v>98.6858</v>
      </c>
      <c r="EQ48" s="10">
        <v>3.6640000000000002E-3</v>
      </c>
      <c r="ER48" s="10">
        <v>71.721999999999994</v>
      </c>
      <c r="ES48" s="10">
        <v>11.105600000000001</v>
      </c>
      <c r="ET48" s="10">
        <v>44.622599999999998</v>
      </c>
      <c r="EU48" s="10">
        <v>2.1947000000000001</v>
      </c>
      <c r="EV48" s="10">
        <v>27.591200000000001</v>
      </c>
      <c r="EW48" s="10">
        <v>129.95949999999999</v>
      </c>
      <c r="EX48" s="10">
        <v>0.21618000000000001</v>
      </c>
      <c r="EY48" s="10">
        <v>5.7117000000000004</v>
      </c>
      <c r="EZ48" s="10">
        <v>4.4847000000000001</v>
      </c>
      <c r="FA48" s="10">
        <v>4.0613000000000001</v>
      </c>
      <c r="FB48" s="10">
        <v>31.555499999999999</v>
      </c>
      <c r="FC48" s="10">
        <v>72.770799999999994</v>
      </c>
      <c r="FD48" s="10">
        <v>324.14620000000002</v>
      </c>
      <c r="FE48" s="10">
        <v>67.255300000000005</v>
      </c>
      <c r="FF48" s="10">
        <v>42.710299999999997</v>
      </c>
      <c r="FG48" s="10">
        <v>0.95198000000000005</v>
      </c>
      <c r="FH48" s="11"/>
      <c r="FI48" s="10">
        <v>104.2698</v>
      </c>
      <c r="FJ48" s="10">
        <v>1530.4736</v>
      </c>
      <c r="FK48" s="10">
        <v>0.51512999999999998</v>
      </c>
      <c r="FL48" s="10">
        <v>1.0992E-2</v>
      </c>
      <c r="FM48" s="10">
        <v>0.21251</v>
      </c>
      <c r="FN48" s="10">
        <v>0.37006</v>
      </c>
      <c r="FO48" s="10">
        <v>6.2288000000000003E-2</v>
      </c>
      <c r="FP48" s="10">
        <v>0.21984000000000001</v>
      </c>
      <c r="FQ48" s="10">
        <v>0.15021999999999999</v>
      </c>
      <c r="FR48" s="10">
        <v>7.3279999999999998E-2</v>
      </c>
      <c r="FS48" s="10">
        <v>394.5849</v>
      </c>
      <c r="FT48" s="10">
        <v>5.2377000000000002</v>
      </c>
      <c r="FU48" s="10">
        <v>60.212000000000003</v>
      </c>
      <c r="FV48" s="10">
        <v>0.73646</v>
      </c>
      <c r="FW48" s="10">
        <v>0.55325999999999997</v>
      </c>
      <c r="FX48" s="10">
        <v>46.858899999999998</v>
      </c>
      <c r="FY48" s="10">
        <v>42.924700000000001</v>
      </c>
      <c r="FZ48" s="10">
        <v>16.651</v>
      </c>
      <c r="GA48" s="10">
        <v>0.27479999999999999</v>
      </c>
      <c r="GB48" s="10">
        <v>0.59357000000000004</v>
      </c>
      <c r="GC48" s="10">
        <v>449.07870000000003</v>
      </c>
      <c r="GD48" s="10">
        <v>478.60579999999999</v>
      </c>
      <c r="GE48" s="10">
        <v>354.48559999999998</v>
      </c>
      <c r="GF48" s="10">
        <v>12.1462</v>
      </c>
      <c r="GG48" s="10">
        <v>10.470800000000001</v>
      </c>
      <c r="GH48" s="10">
        <v>1.5564</v>
      </c>
      <c r="GI48" s="10">
        <v>1.0003</v>
      </c>
      <c r="GJ48" s="10">
        <v>56.475900000000003</v>
      </c>
      <c r="GK48" s="10">
        <v>45.236400000000003</v>
      </c>
      <c r="GL48" s="10">
        <v>50.384599999999999</v>
      </c>
      <c r="GM48" s="10">
        <v>250.2593</v>
      </c>
      <c r="GN48" s="10">
        <v>2.5472999999999999</v>
      </c>
      <c r="GO48" s="10">
        <v>4.2317</v>
      </c>
      <c r="GP48" s="10">
        <v>218.51419999999999</v>
      </c>
      <c r="GQ48" s="10">
        <v>0.17587</v>
      </c>
      <c r="GR48" s="10">
        <v>1.7439</v>
      </c>
      <c r="GS48" s="10">
        <v>0.10992</v>
      </c>
      <c r="GT48" s="10">
        <v>32.574199999999998</v>
      </c>
      <c r="GU48" s="10">
        <v>21.926600000000001</v>
      </c>
      <c r="GV48" s="10">
        <v>244.4641</v>
      </c>
      <c r="GW48" s="10">
        <v>46.447099999999999</v>
      </c>
      <c r="GX48" s="10">
        <v>0.10259</v>
      </c>
      <c r="GY48" s="10">
        <v>1.0992E-2</v>
      </c>
      <c r="GZ48" s="10">
        <v>1.6069</v>
      </c>
      <c r="HA48" s="10">
        <v>310.36270000000002</v>
      </c>
      <c r="HB48" s="10">
        <v>111.8015</v>
      </c>
      <c r="HC48" s="10">
        <v>573.21579999999994</v>
      </c>
      <c r="HD48" s="10">
        <v>6107.6181999999999</v>
      </c>
      <c r="HE48" s="10">
        <v>5.5637999999999996</v>
      </c>
      <c r="HF48" s="10">
        <v>125.1182</v>
      </c>
      <c r="HG48" s="10">
        <v>5.8624000000000002E-2</v>
      </c>
      <c r="HH48" s="10">
        <v>151.268</v>
      </c>
      <c r="HI48" s="10">
        <v>87.800200000000004</v>
      </c>
      <c r="HJ48" s="10">
        <v>2.5648000000000001E-2</v>
      </c>
      <c r="HK48" s="11"/>
      <c r="HL48" s="10">
        <v>18.6462</v>
      </c>
      <c r="HM48" s="10">
        <v>2.1042999999999998</v>
      </c>
      <c r="HN48" s="10">
        <v>9.4285999999999994</v>
      </c>
      <c r="HO48" s="10">
        <f t="shared" si="3"/>
        <v>27568.495764000021</v>
      </c>
      <c r="HP48" s="10">
        <f t="shared" si="4"/>
        <v>27.568495764000023</v>
      </c>
      <c r="HQ48" s="10">
        <f t="shared" si="5"/>
        <v>7.5179972086174054</v>
      </c>
      <c r="HR48" s="11"/>
      <c r="HS48" s="11"/>
      <c r="HT48" s="11"/>
      <c r="HU48" s="11"/>
      <c r="HV48" s="11"/>
      <c r="HW48" s="11"/>
    </row>
    <row r="49" spans="1:231" ht="19.95" customHeight="1">
      <c r="A49" s="8">
        <v>2005</v>
      </c>
      <c r="B49" s="9">
        <v>1.3032999999999999</v>
      </c>
      <c r="C49" s="10">
        <v>4.1989000000000001</v>
      </c>
      <c r="D49" s="10">
        <v>106.47320000000001</v>
      </c>
      <c r="E49" s="10">
        <v>0.57525000000000004</v>
      </c>
      <c r="F49" s="10">
        <v>19.006399999999999</v>
      </c>
      <c r="G49" s="10">
        <v>0.12823999999999999</v>
      </c>
      <c r="H49" s="10">
        <v>0.37373000000000001</v>
      </c>
      <c r="I49" s="10">
        <v>161.4342</v>
      </c>
      <c r="J49" s="10">
        <v>4.3761999999999999</v>
      </c>
      <c r="K49" s="10">
        <v>2.7187000000000001</v>
      </c>
      <c r="L49" s="10">
        <v>386.51350000000002</v>
      </c>
      <c r="M49" s="10">
        <v>79.192400000000006</v>
      </c>
      <c r="N49" s="10">
        <v>34.2864</v>
      </c>
      <c r="O49" s="10">
        <v>1.8283</v>
      </c>
      <c r="P49" s="10">
        <v>19.803000000000001</v>
      </c>
      <c r="Q49" s="10">
        <v>37.676499999999997</v>
      </c>
      <c r="R49" s="10">
        <v>1.3191999999999999</v>
      </c>
      <c r="S49" s="10">
        <v>61.367100000000001</v>
      </c>
      <c r="T49" s="10">
        <v>125.6617</v>
      </c>
      <c r="U49" s="10">
        <v>0.42136000000000001</v>
      </c>
      <c r="V49" s="10">
        <v>2.3671000000000002</v>
      </c>
      <c r="W49" s="10">
        <v>0.58257999999999999</v>
      </c>
      <c r="X49" s="10">
        <v>0.37812000000000001</v>
      </c>
      <c r="Y49" s="10">
        <v>12.070499999999999</v>
      </c>
      <c r="Z49" s="10">
        <v>0.25772</v>
      </c>
      <c r="AA49" s="10">
        <v>16.045999999999999</v>
      </c>
      <c r="AB49" s="10">
        <v>4.0926999999999998</v>
      </c>
      <c r="AC49" s="10">
        <v>342.0865</v>
      </c>
      <c r="AD49" s="10">
        <v>0.17954000000000001</v>
      </c>
      <c r="AE49" s="10">
        <v>4.8695000000000004</v>
      </c>
      <c r="AF49" s="10">
        <v>50.656399999999998</v>
      </c>
      <c r="AG49" s="10">
        <v>1.1217999999999999</v>
      </c>
      <c r="AH49" s="10">
        <v>0.15389</v>
      </c>
      <c r="AI49" s="10">
        <v>2.7736000000000001</v>
      </c>
      <c r="AJ49" s="10">
        <v>3.5912999999999999</v>
      </c>
      <c r="AK49" s="10">
        <v>576.43449999999996</v>
      </c>
      <c r="AL49" s="10">
        <v>0.43968000000000002</v>
      </c>
      <c r="AM49" s="11"/>
      <c r="AN49" s="10">
        <v>0.23449999999999999</v>
      </c>
      <c r="AO49" s="10">
        <v>0.76578000000000002</v>
      </c>
      <c r="AP49" s="10">
        <v>60.947099999999999</v>
      </c>
      <c r="AQ49" s="10">
        <v>5771.1683999999996</v>
      </c>
      <c r="AR49" s="10">
        <v>60.059600000000003</v>
      </c>
      <c r="AS49" s="10">
        <v>0.13922999999999999</v>
      </c>
      <c r="AT49" s="10">
        <v>0.99726000000000004</v>
      </c>
      <c r="AU49" s="10">
        <v>5.4960000000000002E-2</v>
      </c>
      <c r="AV49" s="10">
        <v>6.7233999999999998</v>
      </c>
      <c r="AW49" s="10">
        <v>7.4965000000000002</v>
      </c>
      <c r="AX49" s="10">
        <v>23.330100000000002</v>
      </c>
      <c r="AY49" s="10">
        <v>25.8476</v>
      </c>
      <c r="AZ49" s="10">
        <v>4.8967000000000001</v>
      </c>
      <c r="BA49" s="10">
        <v>8.0312999999999999</v>
      </c>
      <c r="BB49" s="10">
        <v>125.67189999999999</v>
      </c>
      <c r="BC49" s="10">
        <v>1.4453</v>
      </c>
      <c r="BD49" s="10">
        <v>51.495399999999997</v>
      </c>
      <c r="BE49" s="10">
        <v>0.41403000000000001</v>
      </c>
      <c r="BF49" s="10">
        <v>0.1429</v>
      </c>
      <c r="BG49" s="10">
        <v>17.9041</v>
      </c>
      <c r="BH49" s="10">
        <v>29.970099999999999</v>
      </c>
      <c r="BI49" s="10">
        <v>165.04169999999999</v>
      </c>
      <c r="BJ49" s="10">
        <v>6.298</v>
      </c>
      <c r="BK49" s="10">
        <v>7.5148999999999999</v>
      </c>
      <c r="BL49" s="10">
        <v>0.76493999999999995</v>
      </c>
      <c r="BM49" s="10">
        <v>16.921600000000002</v>
      </c>
      <c r="BN49" s="10">
        <v>4.9550999999999998</v>
      </c>
      <c r="BO49" s="10">
        <v>0.72180999999999995</v>
      </c>
      <c r="BP49" s="11"/>
      <c r="BQ49" s="10">
        <v>1.081</v>
      </c>
      <c r="BR49" s="10">
        <v>57.042900000000003</v>
      </c>
      <c r="BS49" s="10">
        <v>426.7792</v>
      </c>
      <c r="BT49" s="11"/>
      <c r="BU49" s="10">
        <v>0.78410000000000002</v>
      </c>
      <c r="BV49" s="10">
        <v>4.8578999999999999</v>
      </c>
      <c r="BW49" s="10">
        <v>0.3261</v>
      </c>
      <c r="BX49" s="10">
        <v>5.0170000000000003</v>
      </c>
      <c r="BY49" s="10">
        <v>866.38850000000002</v>
      </c>
      <c r="BZ49" s="10">
        <v>6.8033999999999999</v>
      </c>
      <c r="CA49" s="11"/>
      <c r="CB49" s="10">
        <v>113.931</v>
      </c>
      <c r="CC49" s="10">
        <v>0.60821999999999998</v>
      </c>
      <c r="CD49" s="10">
        <v>0.21618000000000001</v>
      </c>
      <c r="CE49" s="11"/>
      <c r="CF49" s="10">
        <v>12.108000000000001</v>
      </c>
      <c r="CG49" s="10">
        <v>1.8247</v>
      </c>
      <c r="CH49" s="10">
        <v>0.21251</v>
      </c>
      <c r="CI49" s="10">
        <v>1.6194999999999999</v>
      </c>
      <c r="CJ49" s="10">
        <v>2.0474000000000001</v>
      </c>
      <c r="CK49" s="10">
        <v>7.5766999999999998</v>
      </c>
      <c r="CL49" s="10">
        <v>43.731299999999997</v>
      </c>
      <c r="CM49" s="10">
        <v>60.606499999999997</v>
      </c>
      <c r="CN49" s="10">
        <v>2.9860000000000002</v>
      </c>
      <c r="CO49" s="10">
        <v>1185.7543000000001</v>
      </c>
      <c r="CP49" s="10">
        <v>343.3365</v>
      </c>
      <c r="CQ49" s="10">
        <v>463.5299</v>
      </c>
      <c r="CR49" s="10">
        <v>112.9804</v>
      </c>
      <c r="CS49" s="10">
        <v>48.155500000000004</v>
      </c>
      <c r="CT49" s="10">
        <v>56.524099999999997</v>
      </c>
      <c r="CU49" s="10">
        <v>500.00569999999999</v>
      </c>
      <c r="CV49" s="10">
        <v>10.416499999999999</v>
      </c>
      <c r="CW49" s="10">
        <v>1290.0563</v>
      </c>
      <c r="CX49" s="10">
        <v>20.4361</v>
      </c>
      <c r="CY49" s="10">
        <v>202.3262</v>
      </c>
      <c r="CZ49" s="10">
        <v>8.3385999999999996</v>
      </c>
      <c r="DA49" s="10">
        <v>5.8624000000000002E-2</v>
      </c>
      <c r="DB49" s="11"/>
      <c r="DC49" s="10">
        <v>71.166399999999996</v>
      </c>
      <c r="DD49" s="10">
        <v>5.5136000000000003</v>
      </c>
      <c r="DE49" s="10">
        <v>1.337</v>
      </c>
      <c r="DF49" s="10">
        <v>7.8067000000000002</v>
      </c>
      <c r="DG49" s="10">
        <v>16.6541</v>
      </c>
      <c r="DH49" s="10">
        <v>2.0114999999999998</v>
      </c>
      <c r="DI49" s="10">
        <v>0.65551000000000004</v>
      </c>
      <c r="DJ49" s="10">
        <v>51.696300000000001</v>
      </c>
      <c r="DK49" s="10">
        <v>0.22897000000000001</v>
      </c>
      <c r="DL49" s="10">
        <v>14.091100000000001</v>
      </c>
      <c r="DM49" s="10">
        <v>12.105399999999999</v>
      </c>
      <c r="DN49" s="10">
        <v>1.8283</v>
      </c>
      <c r="DO49" s="10">
        <v>1.7254</v>
      </c>
      <c r="DP49" s="10">
        <v>0.90607000000000004</v>
      </c>
      <c r="DQ49" s="10">
        <v>181.75489999999999</v>
      </c>
      <c r="DR49" s="10">
        <v>0.60089999999999999</v>
      </c>
      <c r="DS49" s="10">
        <v>0.91600000000000004</v>
      </c>
      <c r="DT49" s="10">
        <v>2.6543000000000001</v>
      </c>
      <c r="DU49" s="10">
        <v>0.11358</v>
      </c>
      <c r="DV49" s="11"/>
      <c r="DW49" s="10">
        <v>1.4362999999999999</v>
      </c>
      <c r="DX49" s="10">
        <v>3.2938999999999998</v>
      </c>
      <c r="DY49" s="10">
        <v>463.9932</v>
      </c>
      <c r="DZ49" s="10">
        <v>0.12091</v>
      </c>
      <c r="EA49" s="10">
        <v>4.9375</v>
      </c>
      <c r="EB49" s="10">
        <v>8.5737000000000005</v>
      </c>
      <c r="EC49" s="10">
        <v>1.7507999999999999</v>
      </c>
      <c r="ED49" s="10">
        <v>3.6639999999999999E-2</v>
      </c>
      <c r="EE49" s="10">
        <v>45.569099999999999</v>
      </c>
      <c r="EF49" s="10">
        <v>1.7706999999999999</v>
      </c>
      <c r="EG49" s="10">
        <v>11.529</v>
      </c>
      <c r="EH49" s="10">
        <v>2.3083</v>
      </c>
      <c r="EI49" s="10">
        <v>6.2288000000000003E-2</v>
      </c>
      <c r="EJ49" s="10">
        <v>2.9855</v>
      </c>
      <c r="EK49" s="10">
        <v>177.459</v>
      </c>
      <c r="EL49" s="10">
        <v>2.8090000000000002</v>
      </c>
      <c r="EM49" s="10">
        <v>37.570999999999998</v>
      </c>
      <c r="EN49" s="10">
        <v>4.2697000000000003</v>
      </c>
      <c r="EO49" s="10">
        <v>0.70848</v>
      </c>
      <c r="EP49" s="10">
        <v>105.75709999999999</v>
      </c>
      <c r="EQ49" s="10">
        <v>3.6640000000000002E-3</v>
      </c>
      <c r="ER49" s="10">
        <v>74.918700000000001</v>
      </c>
      <c r="ES49" s="10">
        <v>11.178900000000001</v>
      </c>
      <c r="ET49" s="10">
        <v>43.923200000000001</v>
      </c>
      <c r="EU49" s="10">
        <v>2.7406999999999999</v>
      </c>
      <c r="EV49" s="10">
        <v>29.4666</v>
      </c>
      <c r="EW49" s="10">
        <v>134.75620000000001</v>
      </c>
      <c r="EX49" s="10">
        <v>0.21984000000000001</v>
      </c>
      <c r="EY49" s="10">
        <v>6.7411000000000003</v>
      </c>
      <c r="EZ49" s="10">
        <v>4.3821000000000003</v>
      </c>
      <c r="FA49" s="10">
        <v>3.7799</v>
      </c>
      <c r="FB49" s="10">
        <v>36.7331</v>
      </c>
      <c r="FC49" s="10">
        <v>73.271299999999997</v>
      </c>
      <c r="FD49" s="10">
        <v>323.16129999999998</v>
      </c>
      <c r="FE49" s="10">
        <v>69.483999999999995</v>
      </c>
      <c r="FF49" s="10">
        <v>50.690100000000001</v>
      </c>
      <c r="FG49" s="10">
        <v>0.91200999999999999</v>
      </c>
      <c r="FH49" s="11"/>
      <c r="FI49" s="10">
        <v>102.69450000000001</v>
      </c>
      <c r="FJ49" s="10">
        <v>1547.3758</v>
      </c>
      <c r="FK49" s="10">
        <v>0.51476999999999995</v>
      </c>
      <c r="FL49" s="10">
        <v>1.0992E-2</v>
      </c>
      <c r="FM49" s="10">
        <v>0.19786000000000001</v>
      </c>
      <c r="FN49" s="10">
        <v>0.33709</v>
      </c>
      <c r="FO49" s="10">
        <v>6.5951999999999997E-2</v>
      </c>
      <c r="FP49" s="10">
        <v>0.21984000000000001</v>
      </c>
      <c r="FQ49" s="10">
        <v>0.16122</v>
      </c>
      <c r="FR49" s="10">
        <v>7.6943999999999999E-2</v>
      </c>
      <c r="FS49" s="10">
        <v>395.85480000000001</v>
      </c>
      <c r="FT49" s="10">
        <v>5.5396000000000001</v>
      </c>
      <c r="FU49" s="10">
        <v>51.634099999999997</v>
      </c>
      <c r="FV49" s="10">
        <v>0.68883000000000005</v>
      </c>
      <c r="FW49" s="10">
        <v>0.46166000000000001</v>
      </c>
      <c r="FX49" s="10">
        <v>36.467799999999997</v>
      </c>
      <c r="FY49" s="10">
        <v>42.910899999999998</v>
      </c>
      <c r="FZ49" s="10">
        <v>16.9481</v>
      </c>
      <c r="GA49" s="10">
        <v>0.28212999999999999</v>
      </c>
      <c r="GB49" s="10">
        <v>0.59357000000000004</v>
      </c>
      <c r="GC49" s="10">
        <v>415.9246</v>
      </c>
      <c r="GD49" s="10">
        <v>459.34570000000002</v>
      </c>
      <c r="GE49" s="10">
        <v>369.49209999999999</v>
      </c>
      <c r="GF49" s="10">
        <v>11.9352</v>
      </c>
      <c r="GG49" s="10">
        <v>10.0281</v>
      </c>
      <c r="GH49" s="10">
        <v>1.589</v>
      </c>
      <c r="GI49" s="10">
        <v>1.0148999999999999</v>
      </c>
      <c r="GJ49" s="10">
        <v>53.852899999999998</v>
      </c>
      <c r="GK49" s="10">
        <v>45.788200000000003</v>
      </c>
      <c r="GL49" s="10">
        <v>49.880800000000001</v>
      </c>
      <c r="GM49" s="10">
        <v>255.80369999999999</v>
      </c>
      <c r="GN49" s="10">
        <v>2.4211999999999998</v>
      </c>
      <c r="GO49" s="10">
        <v>5.3601000000000001</v>
      </c>
      <c r="GP49" s="10">
        <v>224.34610000000001</v>
      </c>
      <c r="GQ49" s="10">
        <v>0.17587</v>
      </c>
      <c r="GR49" s="10">
        <v>1.7216</v>
      </c>
      <c r="GS49" s="10">
        <v>0.11358</v>
      </c>
      <c r="GT49" s="10">
        <v>37.942999999999998</v>
      </c>
      <c r="GU49" s="10">
        <v>22.268699999999999</v>
      </c>
      <c r="GV49" s="10">
        <v>264.20080000000002</v>
      </c>
      <c r="GW49" s="10">
        <v>48.2316</v>
      </c>
      <c r="GX49" s="10">
        <v>0.12091</v>
      </c>
      <c r="GY49" s="10">
        <v>1.0992E-2</v>
      </c>
      <c r="GZ49" s="10">
        <v>2.0179</v>
      </c>
      <c r="HA49" s="10">
        <v>313.11810000000003</v>
      </c>
      <c r="HB49" s="10">
        <v>114.47750000000001</v>
      </c>
      <c r="HC49" s="10">
        <v>569.92740000000003</v>
      </c>
      <c r="HD49" s="10">
        <v>6131.893</v>
      </c>
      <c r="HE49" s="10">
        <v>5.7257999999999996</v>
      </c>
      <c r="HF49" s="10">
        <v>116.5762</v>
      </c>
      <c r="HG49" s="10">
        <v>5.8624000000000002E-2</v>
      </c>
      <c r="HH49" s="10">
        <v>163.8235</v>
      </c>
      <c r="HI49" s="10">
        <v>94.859099999999998</v>
      </c>
      <c r="HJ49" s="10">
        <v>2.9312000000000001E-2</v>
      </c>
      <c r="HK49" s="11"/>
      <c r="HL49" s="10">
        <v>19.794799999999999</v>
      </c>
      <c r="HM49" s="10">
        <v>2.2421000000000002</v>
      </c>
      <c r="HN49" s="10">
        <v>10.6996</v>
      </c>
      <c r="HO49" s="10">
        <f t="shared" si="3"/>
        <v>28472.099962000008</v>
      </c>
      <c r="HP49" s="10">
        <f t="shared" si="4"/>
        <v>28.472099962000009</v>
      </c>
      <c r="HQ49" s="10">
        <f t="shared" si="5"/>
        <v>7.7644123157894764</v>
      </c>
      <c r="HR49" s="11"/>
      <c r="HS49" s="12">
        <v>7.9710000000000001</v>
      </c>
      <c r="HT49" s="12">
        <f t="shared" ref="HT49:HT63" si="6">1-HQ49*1/HS49</f>
        <v>2.5917411141704094E-2</v>
      </c>
      <c r="HU49" s="12"/>
      <c r="HV49" s="13"/>
      <c r="HW49" s="13"/>
    </row>
    <row r="50" spans="1:231" ht="19.95" customHeight="1">
      <c r="A50" s="8">
        <v>2006</v>
      </c>
      <c r="B50" s="9">
        <v>1.6354</v>
      </c>
      <c r="C50" s="10">
        <v>3.8435000000000001</v>
      </c>
      <c r="D50" s="10">
        <v>100.2012</v>
      </c>
      <c r="E50" s="10">
        <v>0.54593999999999998</v>
      </c>
      <c r="F50" s="10">
        <v>22.102399999999999</v>
      </c>
      <c r="G50" s="10">
        <v>0.1429</v>
      </c>
      <c r="H50" s="10">
        <v>0.38472000000000001</v>
      </c>
      <c r="I50" s="10">
        <v>174.60900000000001</v>
      </c>
      <c r="J50" s="10">
        <v>4.4016000000000002</v>
      </c>
      <c r="K50" s="10">
        <v>2.7149999999999999</v>
      </c>
      <c r="L50" s="10">
        <v>392.68060000000003</v>
      </c>
      <c r="M50" s="10">
        <v>76.898300000000006</v>
      </c>
      <c r="N50" s="10">
        <v>39.108600000000003</v>
      </c>
      <c r="O50" s="10">
        <v>1.7769999999999999</v>
      </c>
      <c r="P50" s="10">
        <v>19.420100000000001</v>
      </c>
      <c r="Q50" s="10">
        <v>41.6892</v>
      </c>
      <c r="R50" s="10">
        <v>1.3428</v>
      </c>
      <c r="S50" s="10">
        <v>64.157200000000003</v>
      </c>
      <c r="T50" s="10">
        <v>123.9058</v>
      </c>
      <c r="U50" s="10">
        <v>0.44334000000000001</v>
      </c>
      <c r="V50" s="10">
        <v>3.7113</v>
      </c>
      <c r="W50" s="10">
        <v>0.65219000000000005</v>
      </c>
      <c r="X50" s="10">
        <v>0.37301000000000001</v>
      </c>
      <c r="Y50" s="10">
        <v>14.9209</v>
      </c>
      <c r="Z50" s="10">
        <v>0.26860000000000001</v>
      </c>
      <c r="AA50" s="10">
        <v>17.386800000000001</v>
      </c>
      <c r="AB50" s="10">
        <v>4.133</v>
      </c>
      <c r="AC50" s="10">
        <v>341.94639999999998</v>
      </c>
      <c r="AD50" s="10">
        <v>0.1832</v>
      </c>
      <c r="AE50" s="10">
        <v>4.7375999999999996</v>
      </c>
      <c r="AF50" s="10">
        <v>51.895200000000003</v>
      </c>
      <c r="AG50" s="10">
        <v>1.3562000000000001</v>
      </c>
      <c r="AH50" s="10">
        <v>0.1832</v>
      </c>
      <c r="AI50" s="10">
        <v>2.9971999999999999</v>
      </c>
      <c r="AJ50" s="10">
        <v>3.7524000000000002</v>
      </c>
      <c r="AK50" s="10">
        <v>570.95039999999995</v>
      </c>
      <c r="AL50" s="10">
        <v>0.47266000000000002</v>
      </c>
      <c r="AM50" s="11"/>
      <c r="AN50" s="10">
        <v>0.24915000000000001</v>
      </c>
      <c r="AO50" s="10">
        <v>0.79142000000000001</v>
      </c>
      <c r="AP50" s="10">
        <v>63.971600000000002</v>
      </c>
      <c r="AQ50" s="10">
        <v>6377.7479999999996</v>
      </c>
      <c r="AR50" s="10">
        <v>62.0045</v>
      </c>
      <c r="AS50" s="10">
        <v>0.16122</v>
      </c>
      <c r="AT50" s="10">
        <v>1.1286</v>
      </c>
      <c r="AU50" s="10">
        <v>4.7632000000000001E-2</v>
      </c>
      <c r="AV50" s="10">
        <v>7.0056000000000003</v>
      </c>
      <c r="AW50" s="10">
        <v>6.8113999999999999</v>
      </c>
      <c r="AX50" s="10">
        <v>23.529499999999999</v>
      </c>
      <c r="AY50" s="10">
        <v>26.326799999999999</v>
      </c>
      <c r="AZ50" s="10">
        <v>5.1032999999999999</v>
      </c>
      <c r="BA50" s="10">
        <v>8.2232000000000003</v>
      </c>
      <c r="BB50" s="10">
        <v>126.4495</v>
      </c>
      <c r="BC50" s="10">
        <v>1.5532999999999999</v>
      </c>
      <c r="BD50" s="10">
        <v>59.417000000000002</v>
      </c>
      <c r="BE50" s="10">
        <v>0.41037000000000001</v>
      </c>
      <c r="BF50" s="10">
        <v>0.1429</v>
      </c>
      <c r="BG50" s="10">
        <v>19.0867</v>
      </c>
      <c r="BH50" s="10">
        <v>28.8947</v>
      </c>
      <c r="BI50" s="10">
        <v>176.01949999999999</v>
      </c>
      <c r="BJ50" s="10">
        <v>6.7168999999999999</v>
      </c>
      <c r="BK50" s="10">
        <v>6.9615999999999998</v>
      </c>
      <c r="BL50" s="10">
        <v>0.54493000000000003</v>
      </c>
      <c r="BM50" s="10">
        <v>16.2088</v>
      </c>
      <c r="BN50" s="10">
        <v>5.3169000000000004</v>
      </c>
      <c r="BO50" s="10">
        <v>0.67784</v>
      </c>
      <c r="BP50" s="11"/>
      <c r="BQ50" s="10">
        <v>1.2014</v>
      </c>
      <c r="BR50" s="10">
        <v>68.384399999999999</v>
      </c>
      <c r="BS50" s="10">
        <v>416.00380000000001</v>
      </c>
      <c r="BT50" s="11"/>
      <c r="BU50" s="10">
        <v>0.78042999999999996</v>
      </c>
      <c r="BV50" s="10">
        <v>4.1424000000000003</v>
      </c>
      <c r="BW50" s="10">
        <v>0.35174</v>
      </c>
      <c r="BX50" s="10">
        <v>6.0960999999999999</v>
      </c>
      <c r="BY50" s="10">
        <v>877.99739999999997</v>
      </c>
      <c r="BZ50" s="10">
        <v>9.16</v>
      </c>
      <c r="CA50" s="11"/>
      <c r="CB50" s="10">
        <v>112.47239999999999</v>
      </c>
      <c r="CC50" s="10">
        <v>0.62653999999999999</v>
      </c>
      <c r="CD50" s="10">
        <v>0.23083000000000001</v>
      </c>
      <c r="CE50" s="11"/>
      <c r="CF50" s="10">
        <v>12.1753</v>
      </c>
      <c r="CG50" s="10">
        <v>1.8906000000000001</v>
      </c>
      <c r="CH50" s="10">
        <v>0.21618000000000001</v>
      </c>
      <c r="CI50" s="10">
        <v>1.5096000000000001</v>
      </c>
      <c r="CJ50" s="10">
        <v>2.0840999999999998</v>
      </c>
      <c r="CK50" s="10">
        <v>6.8630000000000004</v>
      </c>
      <c r="CL50" s="10">
        <v>41.913699999999999</v>
      </c>
      <c r="CM50" s="10">
        <v>59.915399999999998</v>
      </c>
      <c r="CN50" s="10">
        <v>3.1644000000000001</v>
      </c>
      <c r="CO50" s="10">
        <v>1259.5156999999999</v>
      </c>
      <c r="CP50" s="10">
        <v>346.44330000000002</v>
      </c>
      <c r="CQ50" s="10">
        <v>503.79059999999998</v>
      </c>
      <c r="CR50" s="10">
        <v>98.181100000000001</v>
      </c>
      <c r="CS50" s="10">
        <v>47.603900000000003</v>
      </c>
      <c r="CT50" s="10">
        <v>62.149000000000001</v>
      </c>
      <c r="CU50" s="10">
        <v>495.12419999999997</v>
      </c>
      <c r="CV50" s="10">
        <v>11.577199999999999</v>
      </c>
      <c r="CW50" s="10">
        <v>1266.8286000000001</v>
      </c>
      <c r="CX50" s="10">
        <v>20.5274</v>
      </c>
      <c r="CY50" s="10">
        <v>221.64930000000001</v>
      </c>
      <c r="CZ50" s="10">
        <v>9.3366000000000007</v>
      </c>
      <c r="DA50" s="10">
        <v>6.5951999999999997E-2</v>
      </c>
      <c r="DB50" s="11"/>
      <c r="DC50" s="10">
        <v>73.389099999999999</v>
      </c>
      <c r="DD50" s="10">
        <v>5.4189999999999996</v>
      </c>
      <c r="DE50" s="10">
        <v>1.7524999999999999</v>
      </c>
      <c r="DF50" s="10">
        <v>8.3056999999999999</v>
      </c>
      <c r="DG50" s="10">
        <v>14.792400000000001</v>
      </c>
      <c r="DH50" s="10">
        <v>2.0371999999999999</v>
      </c>
      <c r="DI50" s="10">
        <v>0.67249999999999999</v>
      </c>
      <c r="DJ50" s="10">
        <v>52.6663</v>
      </c>
      <c r="DK50" s="10">
        <v>0.2311</v>
      </c>
      <c r="DL50" s="10">
        <v>14.407999999999999</v>
      </c>
      <c r="DM50" s="10">
        <v>11.936299999999999</v>
      </c>
      <c r="DN50" s="10">
        <v>1.6194999999999999</v>
      </c>
      <c r="DO50" s="10">
        <v>1.6661999999999999</v>
      </c>
      <c r="DP50" s="10">
        <v>0.91778999999999999</v>
      </c>
      <c r="DQ50" s="10">
        <v>178.9297</v>
      </c>
      <c r="DR50" s="10">
        <v>0.75844999999999996</v>
      </c>
      <c r="DS50" s="10">
        <v>1.0809</v>
      </c>
      <c r="DT50" s="10">
        <v>2.6659000000000002</v>
      </c>
      <c r="DU50" s="10">
        <v>0.12091</v>
      </c>
      <c r="DV50" s="11"/>
      <c r="DW50" s="10">
        <v>1.4216</v>
      </c>
      <c r="DX50" s="10">
        <v>3.6274000000000002</v>
      </c>
      <c r="DY50" s="10">
        <v>476.5652</v>
      </c>
      <c r="DZ50" s="10">
        <v>0.12091</v>
      </c>
      <c r="EA50" s="10">
        <v>5.0297000000000001</v>
      </c>
      <c r="EB50" s="10">
        <v>9.4057999999999993</v>
      </c>
      <c r="EC50" s="10">
        <v>2.0628000000000002</v>
      </c>
      <c r="ED50" s="10">
        <v>3.6639999999999999E-2</v>
      </c>
      <c r="EE50" s="10">
        <v>47.438800000000001</v>
      </c>
      <c r="EF50" s="10">
        <v>1.9148000000000001</v>
      </c>
      <c r="EG50" s="10">
        <v>12.7804</v>
      </c>
      <c r="EH50" s="10">
        <v>2.3302999999999998</v>
      </c>
      <c r="EI50" s="10">
        <v>4.3968E-2</v>
      </c>
      <c r="EJ50" s="10">
        <v>2.4561000000000002</v>
      </c>
      <c r="EK50" s="10">
        <v>172.6865</v>
      </c>
      <c r="EL50" s="10">
        <v>2.706</v>
      </c>
      <c r="EM50" s="10">
        <v>37.466299999999997</v>
      </c>
      <c r="EN50" s="10">
        <v>4.4177999999999997</v>
      </c>
      <c r="EO50" s="10">
        <v>0.68628</v>
      </c>
      <c r="EP50" s="10">
        <v>97.809399999999997</v>
      </c>
      <c r="EQ50" s="10">
        <v>3.6640000000000002E-3</v>
      </c>
      <c r="ER50" s="10">
        <v>76.172799999999995</v>
      </c>
      <c r="ES50" s="10">
        <v>10.8344</v>
      </c>
      <c r="ET50" s="10">
        <v>44.4848</v>
      </c>
      <c r="EU50" s="10">
        <v>2.2644000000000002</v>
      </c>
      <c r="EV50" s="10">
        <v>39.046399999999998</v>
      </c>
      <c r="EW50" s="10">
        <v>143.72669999999999</v>
      </c>
      <c r="EX50" s="10">
        <v>0.22717000000000001</v>
      </c>
      <c r="EY50" s="10">
        <v>7.3670999999999998</v>
      </c>
      <c r="EZ50" s="10">
        <v>4.3052000000000001</v>
      </c>
      <c r="FA50" s="10">
        <v>3.9087000000000001</v>
      </c>
      <c r="FB50" s="10">
        <v>28.262699999999999</v>
      </c>
      <c r="FC50" s="10">
        <v>66.521900000000002</v>
      </c>
      <c r="FD50" s="10">
        <v>337.03750000000002</v>
      </c>
      <c r="FE50" s="10">
        <v>64.767700000000005</v>
      </c>
      <c r="FF50" s="10">
        <v>63.196199999999997</v>
      </c>
      <c r="FG50" s="10">
        <v>0.99866999999999995</v>
      </c>
      <c r="FH50" s="11"/>
      <c r="FI50" s="10">
        <v>105.08280000000001</v>
      </c>
      <c r="FJ50" s="10">
        <v>1606.3134</v>
      </c>
      <c r="FK50" s="10">
        <v>0.51441999999999999</v>
      </c>
      <c r="FL50" s="10">
        <v>1.0992E-2</v>
      </c>
      <c r="FM50" s="10">
        <v>0.20152</v>
      </c>
      <c r="FN50" s="10">
        <v>0.3664</v>
      </c>
      <c r="FO50" s="10">
        <v>6.5951999999999997E-2</v>
      </c>
      <c r="FP50" s="10">
        <v>0.21618000000000001</v>
      </c>
      <c r="FQ50" s="10">
        <v>0.16488</v>
      </c>
      <c r="FR50" s="10">
        <v>8.4272E-2</v>
      </c>
      <c r="FS50" s="10">
        <v>431.29199999999997</v>
      </c>
      <c r="FT50" s="10">
        <v>4.4218000000000002</v>
      </c>
      <c r="FU50" s="10">
        <v>60.861400000000003</v>
      </c>
      <c r="FV50" s="10">
        <v>0.73280000000000001</v>
      </c>
      <c r="FW50" s="10">
        <v>0.61555000000000004</v>
      </c>
      <c r="FX50" s="10">
        <v>43.044699999999999</v>
      </c>
      <c r="FY50" s="10">
        <v>42.6873</v>
      </c>
      <c r="FZ50" s="10">
        <v>17.142499999999998</v>
      </c>
      <c r="GA50" s="10">
        <v>0.28946</v>
      </c>
      <c r="GB50" s="10">
        <v>0.59357000000000004</v>
      </c>
      <c r="GC50" s="10">
        <v>446.62259999999998</v>
      </c>
      <c r="GD50" s="10">
        <v>465.60590000000002</v>
      </c>
      <c r="GE50" s="10">
        <v>360.57859999999999</v>
      </c>
      <c r="GF50" s="10">
        <v>11.793699999999999</v>
      </c>
      <c r="GG50" s="10">
        <v>10.983700000000001</v>
      </c>
      <c r="GH50" s="10">
        <v>1.7391000000000001</v>
      </c>
      <c r="GI50" s="10">
        <v>1.0148999999999999</v>
      </c>
      <c r="GJ50" s="10">
        <v>53.674300000000002</v>
      </c>
      <c r="GK50" s="10">
        <v>45.373699999999999</v>
      </c>
      <c r="GL50" s="10">
        <v>52.840400000000002</v>
      </c>
      <c r="GM50" s="10">
        <v>248.96430000000001</v>
      </c>
      <c r="GN50" s="10">
        <v>2.6341000000000001</v>
      </c>
      <c r="GO50" s="10">
        <v>5.8789999999999996</v>
      </c>
      <c r="GP50" s="10">
        <v>227.71690000000001</v>
      </c>
      <c r="GQ50" s="10">
        <v>0.17954000000000001</v>
      </c>
      <c r="GR50" s="10">
        <v>1.5004999999999999</v>
      </c>
      <c r="GS50" s="10">
        <v>0.12823999999999999</v>
      </c>
      <c r="GT50" s="10">
        <v>42.414099999999998</v>
      </c>
      <c r="GU50" s="10">
        <v>22.602499999999999</v>
      </c>
      <c r="GV50" s="10">
        <v>281.64920000000001</v>
      </c>
      <c r="GW50" s="10">
        <v>49.372100000000003</v>
      </c>
      <c r="GX50" s="10">
        <v>0.1429</v>
      </c>
      <c r="GY50" s="10">
        <v>7.3280000000000003E-3</v>
      </c>
      <c r="GZ50" s="10">
        <v>2.3834</v>
      </c>
      <c r="HA50" s="10">
        <v>332.6703</v>
      </c>
      <c r="HB50" s="10">
        <v>121.7372</v>
      </c>
      <c r="HC50" s="10">
        <v>567.52769999999998</v>
      </c>
      <c r="HD50" s="10">
        <v>6051.0510000000004</v>
      </c>
      <c r="HE50" s="10">
        <v>6.5960999999999999</v>
      </c>
      <c r="HF50" s="10">
        <v>119.36490000000001</v>
      </c>
      <c r="HG50" s="10">
        <v>4.7632000000000001E-2</v>
      </c>
      <c r="HH50" s="10">
        <v>160.1601</v>
      </c>
      <c r="HI50" s="10">
        <v>99.130399999999995</v>
      </c>
      <c r="HJ50" s="10">
        <v>2.9312000000000001E-2</v>
      </c>
      <c r="HK50" s="11"/>
      <c r="HL50" s="10">
        <v>21.085100000000001</v>
      </c>
      <c r="HM50" s="10">
        <v>2.2317</v>
      </c>
      <c r="HN50" s="10">
        <v>10.3649</v>
      </c>
      <c r="HO50" s="10">
        <f t="shared" si="3"/>
        <v>29383.401693999993</v>
      </c>
      <c r="HP50" s="10">
        <f t="shared" si="4"/>
        <v>29.383401693999993</v>
      </c>
      <c r="HQ50" s="10">
        <f t="shared" si="5"/>
        <v>8.012926559585491</v>
      </c>
      <c r="HR50" s="11"/>
      <c r="HS50" s="12">
        <v>8.1615000000000002</v>
      </c>
      <c r="HT50" s="12">
        <f t="shared" si="6"/>
        <v>1.8204183105373861E-2</v>
      </c>
      <c r="HU50" s="12"/>
      <c r="HV50" s="13"/>
      <c r="HW50" s="13"/>
    </row>
    <row r="51" spans="1:231" ht="19.95" customHeight="1">
      <c r="A51" s="8">
        <v>2007</v>
      </c>
      <c r="B51" s="9">
        <v>2.2686000000000002</v>
      </c>
      <c r="C51" s="10">
        <v>3.8289</v>
      </c>
      <c r="D51" s="10">
        <v>108.4</v>
      </c>
      <c r="E51" s="10">
        <v>0.53861000000000003</v>
      </c>
      <c r="F51" s="10">
        <v>24.976099999999999</v>
      </c>
      <c r="G51" s="10">
        <v>0.15021999999999999</v>
      </c>
      <c r="H51" s="10">
        <v>0.40670000000000001</v>
      </c>
      <c r="I51" s="10">
        <v>174.2458</v>
      </c>
      <c r="J51" s="10">
        <v>5.1002000000000001</v>
      </c>
      <c r="K51" s="10">
        <v>2.8212999999999999</v>
      </c>
      <c r="L51" s="10">
        <v>399.84249999999997</v>
      </c>
      <c r="M51" s="10">
        <v>74.262600000000006</v>
      </c>
      <c r="N51" s="10">
        <v>30.458400000000001</v>
      </c>
      <c r="O51" s="10">
        <v>1.7954000000000001</v>
      </c>
      <c r="P51" s="10">
        <v>26.770099999999999</v>
      </c>
      <c r="Q51" s="10">
        <v>42.642099999999999</v>
      </c>
      <c r="R51" s="10">
        <v>1.3628</v>
      </c>
      <c r="S51" s="10">
        <v>63.569899999999997</v>
      </c>
      <c r="T51" s="10">
        <v>120.4962</v>
      </c>
      <c r="U51" s="10">
        <v>0.47632000000000002</v>
      </c>
      <c r="V51" s="10">
        <v>4.3196000000000003</v>
      </c>
      <c r="W51" s="10">
        <v>0.72914000000000001</v>
      </c>
      <c r="X51" s="10">
        <v>0.37203000000000003</v>
      </c>
      <c r="Y51" s="10">
        <v>12.1768</v>
      </c>
      <c r="Z51" s="10">
        <v>0.30237999999999998</v>
      </c>
      <c r="AA51" s="10">
        <v>17.474299999999999</v>
      </c>
      <c r="AB51" s="10">
        <v>4.2282999999999999</v>
      </c>
      <c r="AC51" s="10">
        <v>356.91879999999998</v>
      </c>
      <c r="AD51" s="10">
        <v>0.18686</v>
      </c>
      <c r="AE51" s="10">
        <v>8.31</v>
      </c>
      <c r="AF51" s="10">
        <v>55.7408</v>
      </c>
      <c r="AG51" s="10">
        <v>1.5906</v>
      </c>
      <c r="AH51" s="10">
        <v>0.20152</v>
      </c>
      <c r="AI51" s="10">
        <v>3.4525000000000001</v>
      </c>
      <c r="AJ51" s="10">
        <v>5.7019000000000002</v>
      </c>
      <c r="AK51" s="10">
        <v>594.22059999999999</v>
      </c>
      <c r="AL51" s="10">
        <v>0.50563000000000002</v>
      </c>
      <c r="AM51" s="11"/>
      <c r="AN51" s="10">
        <v>0.25281999999999999</v>
      </c>
      <c r="AO51" s="10">
        <v>0.85370999999999997</v>
      </c>
      <c r="AP51" s="10">
        <v>70.706900000000005</v>
      </c>
      <c r="AQ51" s="10">
        <v>6861.7506999999996</v>
      </c>
      <c r="AR51" s="10">
        <v>60.178800000000003</v>
      </c>
      <c r="AS51" s="10">
        <v>0.10259</v>
      </c>
      <c r="AT51" s="10">
        <v>1.2122999999999999</v>
      </c>
      <c r="AU51" s="10">
        <v>4.7632000000000001E-2</v>
      </c>
      <c r="AV51" s="10">
        <v>7.9612999999999996</v>
      </c>
      <c r="AW51" s="10">
        <v>6.5366</v>
      </c>
      <c r="AX51" s="10">
        <v>24.843800000000002</v>
      </c>
      <c r="AY51" s="10">
        <v>25.762</v>
      </c>
      <c r="AZ51" s="10">
        <v>5.7451999999999996</v>
      </c>
      <c r="BA51" s="10">
        <v>8.5388999999999999</v>
      </c>
      <c r="BB51" s="10">
        <v>128.26429999999999</v>
      </c>
      <c r="BC51" s="10">
        <v>1.6961999999999999</v>
      </c>
      <c r="BD51" s="10">
        <v>54.642699999999998</v>
      </c>
      <c r="BE51" s="10">
        <v>0.46166000000000001</v>
      </c>
      <c r="BF51" s="10">
        <v>0.1832</v>
      </c>
      <c r="BG51" s="10">
        <v>19.950399999999998</v>
      </c>
      <c r="BH51" s="10">
        <v>33.685099999999998</v>
      </c>
      <c r="BI51" s="10">
        <v>185.90520000000001</v>
      </c>
      <c r="BJ51" s="10">
        <v>6.8459000000000003</v>
      </c>
      <c r="BK51" s="10">
        <v>5.6279000000000003</v>
      </c>
      <c r="BL51" s="10">
        <v>0.55935000000000001</v>
      </c>
      <c r="BM51" s="10">
        <v>19.8386</v>
      </c>
      <c r="BN51" s="10">
        <v>5.8392999999999997</v>
      </c>
      <c r="BO51" s="10">
        <v>0.68883000000000005</v>
      </c>
      <c r="BP51" s="11"/>
      <c r="BQ51" s="10">
        <v>1.1411</v>
      </c>
      <c r="BR51" s="10">
        <v>66.760300000000001</v>
      </c>
      <c r="BS51" s="10">
        <v>405.19439999999997</v>
      </c>
      <c r="BT51" s="11"/>
      <c r="BU51" s="10">
        <v>0.76944000000000001</v>
      </c>
      <c r="BV51" s="10">
        <v>4.0892999999999997</v>
      </c>
      <c r="BW51" s="10">
        <v>0.35174</v>
      </c>
      <c r="BX51" s="10">
        <v>6.3647999999999998</v>
      </c>
      <c r="BY51" s="10">
        <v>851.38329999999996</v>
      </c>
      <c r="BZ51" s="10">
        <v>9.6193000000000008</v>
      </c>
      <c r="CA51" s="11"/>
      <c r="CB51" s="10">
        <v>114.59229999999999</v>
      </c>
      <c r="CC51" s="10">
        <v>0.63754</v>
      </c>
      <c r="CD51" s="10">
        <v>0.23816000000000001</v>
      </c>
      <c r="CE51" s="11"/>
      <c r="CF51" s="10">
        <v>12.144600000000001</v>
      </c>
      <c r="CG51" s="10">
        <v>1.9676</v>
      </c>
      <c r="CH51" s="10">
        <v>0.23083000000000001</v>
      </c>
      <c r="CI51" s="10">
        <v>1.7806999999999999</v>
      </c>
      <c r="CJ51" s="10">
        <v>2.3610000000000002</v>
      </c>
      <c r="CK51" s="10">
        <v>8.5983999999999998</v>
      </c>
      <c r="CL51" s="10">
        <v>43.572400000000002</v>
      </c>
      <c r="CM51" s="10">
        <v>58.688600000000001</v>
      </c>
      <c r="CN51" s="10">
        <v>3.5121000000000002</v>
      </c>
      <c r="CO51" s="10">
        <v>1357.9082000000001</v>
      </c>
      <c r="CP51" s="10">
        <v>376.86529999999999</v>
      </c>
      <c r="CQ51" s="10">
        <v>513.31380000000001</v>
      </c>
      <c r="CR51" s="10">
        <v>61.491799999999998</v>
      </c>
      <c r="CS51" s="10">
        <v>47.665100000000002</v>
      </c>
      <c r="CT51" s="10">
        <v>62.799900000000001</v>
      </c>
      <c r="CU51" s="10">
        <v>487.69330000000002</v>
      </c>
      <c r="CV51" s="10">
        <v>10.7492</v>
      </c>
      <c r="CW51" s="10">
        <v>1302.5243</v>
      </c>
      <c r="CX51" s="10">
        <v>21.437000000000001</v>
      </c>
      <c r="CY51" s="10">
        <v>227.96109999999999</v>
      </c>
      <c r="CZ51" s="10">
        <v>9.5404</v>
      </c>
      <c r="DA51" s="10">
        <v>5.8624000000000002E-2</v>
      </c>
      <c r="DB51" s="11"/>
      <c r="DC51" s="10">
        <v>74.874799999999993</v>
      </c>
      <c r="DD51" s="10">
        <v>6.5183</v>
      </c>
      <c r="DE51" s="10">
        <v>1.8309</v>
      </c>
      <c r="DF51" s="10">
        <v>8.6319999999999997</v>
      </c>
      <c r="DG51" s="10">
        <v>13.7499</v>
      </c>
      <c r="DH51" s="10">
        <v>2.0737999999999999</v>
      </c>
      <c r="DI51" s="10">
        <v>0.62770000000000004</v>
      </c>
      <c r="DJ51" s="10">
        <v>49.339700000000001</v>
      </c>
      <c r="DK51" s="10">
        <v>0.20077</v>
      </c>
      <c r="DL51" s="10">
        <v>15.797800000000001</v>
      </c>
      <c r="DM51" s="10">
        <v>11.333600000000001</v>
      </c>
      <c r="DN51" s="10">
        <v>1.363</v>
      </c>
      <c r="DO51" s="10">
        <v>1.7834000000000001</v>
      </c>
      <c r="DP51" s="10">
        <v>0.96884999999999999</v>
      </c>
      <c r="DQ51" s="10">
        <v>182.83199999999999</v>
      </c>
      <c r="DR51" s="10">
        <v>0.78042999999999996</v>
      </c>
      <c r="DS51" s="10">
        <v>1.2970999999999999</v>
      </c>
      <c r="DT51" s="10">
        <v>2.7357</v>
      </c>
      <c r="DU51" s="10">
        <v>0.12458</v>
      </c>
      <c r="DV51" s="11"/>
      <c r="DW51" s="10">
        <v>1.6377999999999999</v>
      </c>
      <c r="DX51" s="10">
        <v>3.6859999999999999</v>
      </c>
      <c r="DY51" s="10">
        <v>479.78680000000003</v>
      </c>
      <c r="DZ51" s="10">
        <v>0.13189999999999999</v>
      </c>
      <c r="EA51" s="10">
        <v>4.9786000000000001</v>
      </c>
      <c r="EB51" s="10">
        <v>12.0787</v>
      </c>
      <c r="EC51" s="10">
        <v>2.0554999999999999</v>
      </c>
      <c r="ED51" s="10">
        <v>4.0304E-2</v>
      </c>
      <c r="EE51" s="10">
        <v>50.288899999999998</v>
      </c>
      <c r="EF51" s="10">
        <v>2.1871999999999998</v>
      </c>
      <c r="EG51" s="10">
        <v>12.7951</v>
      </c>
      <c r="EH51" s="10">
        <v>2.3595999999999999</v>
      </c>
      <c r="EI51" s="10">
        <v>4.3968E-2</v>
      </c>
      <c r="EJ51" s="10">
        <v>2.5707</v>
      </c>
      <c r="EK51" s="10">
        <v>172.5872</v>
      </c>
      <c r="EL51" s="10">
        <v>2.9279999999999999</v>
      </c>
      <c r="EM51" s="10">
        <v>36.559899999999999</v>
      </c>
      <c r="EN51" s="10">
        <v>4.5503999999999998</v>
      </c>
      <c r="EO51" s="10">
        <v>0.71689999999999998</v>
      </c>
      <c r="EP51" s="10">
        <v>94.269099999999995</v>
      </c>
      <c r="EQ51" s="10">
        <v>3.6640000000000002E-3</v>
      </c>
      <c r="ER51" s="10">
        <v>63.479199999999999</v>
      </c>
      <c r="ES51" s="10">
        <v>9.3834999999999997</v>
      </c>
      <c r="ET51" s="10">
        <v>46.231299999999997</v>
      </c>
      <c r="EU51" s="10">
        <v>2.323</v>
      </c>
      <c r="EV51" s="10">
        <v>43.970399999999998</v>
      </c>
      <c r="EW51" s="10">
        <v>155.8442</v>
      </c>
      <c r="EX51" s="10">
        <v>0.25281999999999999</v>
      </c>
      <c r="EY51" s="10">
        <v>7.1962999999999999</v>
      </c>
      <c r="EZ51" s="10">
        <v>6.1151999999999997</v>
      </c>
      <c r="FA51" s="10">
        <v>4.0415999999999999</v>
      </c>
      <c r="FB51" s="10">
        <v>34.523600000000002</v>
      </c>
      <c r="FC51" s="10">
        <v>70.764099999999999</v>
      </c>
      <c r="FD51" s="10">
        <v>336.36849999999998</v>
      </c>
      <c r="FE51" s="10">
        <v>62.2804</v>
      </c>
      <c r="FF51" s="10">
        <v>62.8994</v>
      </c>
      <c r="FG51" s="10">
        <v>1.1732</v>
      </c>
      <c r="FH51" s="11"/>
      <c r="FI51" s="10">
        <v>108.4405</v>
      </c>
      <c r="FJ51" s="10">
        <v>1604.3237999999999</v>
      </c>
      <c r="FK51" s="10">
        <v>0.54218</v>
      </c>
      <c r="FL51" s="10">
        <v>1.0992E-2</v>
      </c>
      <c r="FM51" s="10">
        <v>0.21618000000000001</v>
      </c>
      <c r="FN51" s="10">
        <v>0.29311999999999999</v>
      </c>
      <c r="FO51" s="10">
        <v>6.5951999999999997E-2</v>
      </c>
      <c r="FP51" s="10">
        <v>0.26013999999999998</v>
      </c>
      <c r="FQ51" s="10">
        <v>0.17221</v>
      </c>
      <c r="FR51" s="10">
        <v>8.4272E-2</v>
      </c>
      <c r="FS51" s="10">
        <v>386.50709999999998</v>
      </c>
      <c r="FT51" s="10">
        <v>4.8632999999999997</v>
      </c>
      <c r="FU51" s="10">
        <v>59.630200000000002</v>
      </c>
      <c r="FV51" s="10">
        <v>0.64119999999999999</v>
      </c>
      <c r="FW51" s="10">
        <v>0.51661999999999997</v>
      </c>
      <c r="FX51" s="10">
        <v>47.5184</v>
      </c>
      <c r="FY51" s="10">
        <v>41.095100000000002</v>
      </c>
      <c r="FZ51" s="10">
        <v>17.280999999999999</v>
      </c>
      <c r="GA51" s="10">
        <v>0.30044999999999999</v>
      </c>
      <c r="GB51" s="10">
        <v>0.60821999999999998</v>
      </c>
      <c r="GC51" s="10">
        <v>464.80029999999999</v>
      </c>
      <c r="GD51" s="10">
        <v>493.35340000000002</v>
      </c>
      <c r="GE51" s="10">
        <v>368.43270000000001</v>
      </c>
      <c r="GF51" s="10">
        <v>12.151300000000001</v>
      </c>
      <c r="GG51" s="10">
        <v>12.9047</v>
      </c>
      <c r="GH51" s="10">
        <v>1.7568999999999999</v>
      </c>
      <c r="GI51" s="10">
        <v>1.0516000000000001</v>
      </c>
      <c r="GJ51" s="10">
        <v>52.940899999999999</v>
      </c>
      <c r="GK51" s="10">
        <v>43.368400000000001</v>
      </c>
      <c r="GL51" s="10">
        <v>65.718500000000006</v>
      </c>
      <c r="GM51" s="10">
        <v>273.73390000000001</v>
      </c>
      <c r="GN51" s="10">
        <v>3.2042999999999999</v>
      </c>
      <c r="GO51" s="10">
        <v>5.7103000000000002</v>
      </c>
      <c r="GP51" s="10">
        <v>230.76179999999999</v>
      </c>
      <c r="GQ51" s="10">
        <v>0.1832</v>
      </c>
      <c r="GR51" s="10">
        <v>1.5167999999999999</v>
      </c>
      <c r="GS51" s="10">
        <v>0.11358</v>
      </c>
      <c r="GT51" s="10">
        <v>45.235599999999998</v>
      </c>
      <c r="GU51" s="10">
        <v>23.6844</v>
      </c>
      <c r="GV51" s="10">
        <v>312.73669999999998</v>
      </c>
      <c r="GW51" s="10">
        <v>55.890099999999997</v>
      </c>
      <c r="GX51" s="10">
        <v>0.16488</v>
      </c>
      <c r="GY51" s="10">
        <v>1.0992E-2</v>
      </c>
      <c r="GZ51" s="10">
        <v>2.71</v>
      </c>
      <c r="HA51" s="10">
        <v>336.36399999999998</v>
      </c>
      <c r="HB51" s="10">
        <v>133.2637</v>
      </c>
      <c r="HC51" s="10">
        <v>559.24879999999996</v>
      </c>
      <c r="HD51" s="10">
        <v>6128.4296000000004</v>
      </c>
      <c r="HE51" s="10">
        <v>5.9465000000000003</v>
      </c>
      <c r="HF51" s="10">
        <v>119.11320000000001</v>
      </c>
      <c r="HG51" s="10">
        <v>9.8928000000000002E-2</v>
      </c>
      <c r="HH51" s="10">
        <v>149.9238</v>
      </c>
      <c r="HI51" s="10">
        <v>100.57729999999999</v>
      </c>
      <c r="HJ51" s="10">
        <v>2.9312000000000001E-2</v>
      </c>
      <c r="HK51" s="11"/>
      <c r="HL51" s="10">
        <v>20.719000000000001</v>
      </c>
      <c r="HM51" s="10">
        <v>1.8675999999999999</v>
      </c>
      <c r="HN51" s="10">
        <v>9.8339999999999996</v>
      </c>
      <c r="HO51" s="10">
        <f t="shared" si="3"/>
        <v>30244.421549999985</v>
      </c>
      <c r="HP51" s="10">
        <f t="shared" si="4"/>
        <v>30.244421549999984</v>
      </c>
      <c r="HQ51" s="10">
        <f t="shared" si="5"/>
        <v>8.2477288110171756</v>
      </c>
      <c r="HR51" s="11"/>
      <c r="HS51" s="12">
        <v>8.3522999999999996</v>
      </c>
      <c r="HT51" s="12">
        <f t="shared" si="6"/>
        <v>1.2520047050851191E-2</v>
      </c>
      <c r="HU51" s="12"/>
      <c r="HV51" s="13"/>
      <c r="HW51" s="13"/>
    </row>
    <row r="52" spans="1:231" ht="19.95" customHeight="1">
      <c r="A52" s="8">
        <v>2008</v>
      </c>
      <c r="B52" s="9">
        <v>4.1994999999999996</v>
      </c>
      <c r="C52" s="10">
        <v>4.2721999999999998</v>
      </c>
      <c r="D52" s="10">
        <v>109.0318</v>
      </c>
      <c r="E52" s="10">
        <v>0.53861000000000003</v>
      </c>
      <c r="F52" s="10">
        <v>25.486000000000001</v>
      </c>
      <c r="G52" s="10">
        <v>0.15021999999999999</v>
      </c>
      <c r="H52" s="10">
        <v>0.41770000000000002</v>
      </c>
      <c r="I52" s="10">
        <v>188.10599999999999</v>
      </c>
      <c r="J52" s="10">
        <v>5.5747999999999998</v>
      </c>
      <c r="K52" s="10">
        <v>2.6564000000000001</v>
      </c>
      <c r="L52" s="10">
        <v>404.41739999999999</v>
      </c>
      <c r="M52" s="10">
        <v>73.588399999999993</v>
      </c>
      <c r="N52" s="10">
        <v>35.450600000000001</v>
      </c>
      <c r="O52" s="10">
        <v>2.3595999999999999</v>
      </c>
      <c r="P52" s="10">
        <v>29.682400000000001</v>
      </c>
      <c r="Q52" s="10">
        <v>45.300899999999999</v>
      </c>
      <c r="R52" s="10">
        <v>1.6123000000000001</v>
      </c>
      <c r="S52" s="10">
        <v>65.694800000000001</v>
      </c>
      <c r="T52" s="10">
        <v>120.2029</v>
      </c>
      <c r="U52" s="10">
        <v>0.43602000000000002</v>
      </c>
      <c r="V52" s="10">
        <v>4.2548000000000004</v>
      </c>
      <c r="W52" s="10">
        <v>0.64853000000000005</v>
      </c>
      <c r="X52" s="10">
        <v>0.40072000000000002</v>
      </c>
      <c r="Y52" s="10">
        <v>13.0406</v>
      </c>
      <c r="Z52" s="10">
        <v>0.29083999999999999</v>
      </c>
      <c r="AA52" s="10">
        <v>19.958600000000001</v>
      </c>
      <c r="AB52" s="10">
        <v>4.5030999999999999</v>
      </c>
      <c r="AC52" s="10">
        <v>380.34469999999999</v>
      </c>
      <c r="AD52" s="10">
        <v>0.19053</v>
      </c>
      <c r="AE52" s="10">
        <v>8.9915000000000003</v>
      </c>
      <c r="AF52" s="10">
        <v>54.079599999999999</v>
      </c>
      <c r="AG52" s="10">
        <v>1.7344999999999999</v>
      </c>
      <c r="AH52" s="10">
        <v>0.20885000000000001</v>
      </c>
      <c r="AI52" s="10">
        <v>3.8050000000000002</v>
      </c>
      <c r="AJ52" s="10">
        <v>5.4263000000000003</v>
      </c>
      <c r="AK52" s="10">
        <v>575.58690000000001</v>
      </c>
      <c r="AL52" s="10">
        <v>0.46899000000000002</v>
      </c>
      <c r="AM52" s="11"/>
      <c r="AN52" s="10">
        <v>0.25281999999999999</v>
      </c>
      <c r="AO52" s="10">
        <v>0.92698999999999998</v>
      </c>
      <c r="AP52" s="10">
        <v>70.818700000000007</v>
      </c>
      <c r="AQ52" s="10">
        <v>7375.1899000000003</v>
      </c>
      <c r="AR52" s="10">
        <v>66.650099999999995</v>
      </c>
      <c r="AS52" s="10">
        <v>0.10625999999999999</v>
      </c>
      <c r="AT52" s="10">
        <v>1.3291999999999999</v>
      </c>
      <c r="AU52" s="10">
        <v>4.7632000000000001E-2</v>
      </c>
      <c r="AV52" s="10">
        <v>7.9911000000000003</v>
      </c>
      <c r="AW52" s="10">
        <v>6.5914999999999999</v>
      </c>
      <c r="AX52" s="10">
        <v>23.628599999999999</v>
      </c>
      <c r="AY52" s="10">
        <v>27.747199999999999</v>
      </c>
      <c r="AZ52" s="10">
        <v>5.5259999999999998</v>
      </c>
      <c r="BA52" s="10">
        <v>8.7073</v>
      </c>
      <c r="BB52" s="10">
        <v>122.9414</v>
      </c>
      <c r="BC52" s="10">
        <v>1.8108</v>
      </c>
      <c r="BD52" s="10">
        <v>51.222999999999999</v>
      </c>
      <c r="BE52" s="10">
        <v>0.49830000000000002</v>
      </c>
      <c r="BF52" s="10">
        <v>0.16488</v>
      </c>
      <c r="BG52" s="10">
        <v>20.268999999999998</v>
      </c>
      <c r="BH52" s="10">
        <v>29.573</v>
      </c>
      <c r="BI52" s="10">
        <v>195.28540000000001</v>
      </c>
      <c r="BJ52" s="10">
        <v>6.4050000000000002</v>
      </c>
      <c r="BK52" s="10">
        <v>7.0166000000000004</v>
      </c>
      <c r="BL52" s="10">
        <v>0.40534999999999999</v>
      </c>
      <c r="BM52" s="10">
        <v>17.668099999999999</v>
      </c>
      <c r="BN52" s="10">
        <v>6.4164000000000003</v>
      </c>
      <c r="BO52" s="10">
        <v>0.63021000000000005</v>
      </c>
      <c r="BP52" s="11"/>
      <c r="BQ52" s="10">
        <v>0.87775999999999998</v>
      </c>
      <c r="BR52" s="10">
        <v>58.6096</v>
      </c>
      <c r="BS52" s="10">
        <v>397.7251</v>
      </c>
      <c r="BT52" s="11"/>
      <c r="BU52" s="10">
        <v>0.79508999999999996</v>
      </c>
      <c r="BV52" s="10">
        <v>4.1619999999999999</v>
      </c>
      <c r="BW52" s="10">
        <v>0.3664</v>
      </c>
      <c r="BX52" s="10">
        <v>5.3082000000000003</v>
      </c>
      <c r="BY52" s="10">
        <v>854.70630000000006</v>
      </c>
      <c r="BZ52" s="10">
        <v>8.9259000000000004</v>
      </c>
      <c r="CA52" s="11"/>
      <c r="CB52" s="10">
        <v>111.12520000000001</v>
      </c>
      <c r="CC52" s="10">
        <v>0.65952</v>
      </c>
      <c r="CD52" s="10">
        <v>0.25281999999999999</v>
      </c>
      <c r="CE52" s="11"/>
      <c r="CF52" s="10">
        <v>10.8931</v>
      </c>
      <c r="CG52" s="10">
        <v>1.9968999999999999</v>
      </c>
      <c r="CH52" s="10">
        <v>0.22717000000000001</v>
      </c>
      <c r="CI52" s="10">
        <v>1.7074</v>
      </c>
      <c r="CJ52" s="10">
        <v>2.3658000000000001</v>
      </c>
      <c r="CK52" s="10">
        <v>8.5176999999999996</v>
      </c>
      <c r="CL52" s="10">
        <v>42.790700000000001</v>
      </c>
      <c r="CM52" s="10">
        <v>57.530799999999999</v>
      </c>
      <c r="CN52" s="10">
        <v>3.8249</v>
      </c>
      <c r="CO52" s="10">
        <v>1462.566</v>
      </c>
      <c r="CP52" s="10">
        <v>417.56180000000001</v>
      </c>
      <c r="CQ52" s="10">
        <v>534.91010000000006</v>
      </c>
      <c r="CR52" s="10">
        <v>92.167000000000002</v>
      </c>
      <c r="CS52" s="10">
        <v>47.366199999999999</v>
      </c>
      <c r="CT52" s="10">
        <v>67.980199999999996</v>
      </c>
      <c r="CU52" s="10">
        <v>476.23</v>
      </c>
      <c r="CV52" s="10">
        <v>10.7796</v>
      </c>
      <c r="CW52" s="10">
        <v>1231.9095</v>
      </c>
      <c r="CX52" s="10">
        <v>20.7179</v>
      </c>
      <c r="CY52" s="10">
        <v>229.09630000000001</v>
      </c>
      <c r="CZ52" s="10">
        <v>9.9116999999999997</v>
      </c>
      <c r="DA52" s="10">
        <v>6.5951999999999997E-2</v>
      </c>
      <c r="DB52" s="10">
        <v>7.3865999999999996</v>
      </c>
      <c r="DC52" s="10">
        <v>82.298299999999998</v>
      </c>
      <c r="DD52" s="10">
        <v>7.5483000000000002</v>
      </c>
      <c r="DE52" s="10">
        <v>2.1265000000000001</v>
      </c>
      <c r="DF52" s="10">
        <v>8.1928000000000001</v>
      </c>
      <c r="DG52" s="10">
        <v>17.4191</v>
      </c>
      <c r="DH52" s="10">
        <v>2.1251000000000002</v>
      </c>
      <c r="DI52" s="10">
        <v>0.53507000000000005</v>
      </c>
      <c r="DJ52" s="10">
        <v>55.341500000000003</v>
      </c>
      <c r="DK52" s="10">
        <v>0.21951000000000001</v>
      </c>
      <c r="DL52" s="10">
        <v>15.1792</v>
      </c>
      <c r="DM52" s="10">
        <v>11.1952</v>
      </c>
      <c r="DN52" s="10">
        <v>1.1322000000000001</v>
      </c>
      <c r="DO52" s="10">
        <v>1.8686</v>
      </c>
      <c r="DP52" s="10">
        <v>1.0871</v>
      </c>
      <c r="DQ52" s="10">
        <v>202.49809999999999</v>
      </c>
      <c r="DR52" s="10">
        <v>0.84272000000000002</v>
      </c>
      <c r="DS52" s="10">
        <v>1.5571999999999999</v>
      </c>
      <c r="DT52" s="10">
        <v>2.7471000000000001</v>
      </c>
      <c r="DU52" s="10">
        <v>0.12823999999999999</v>
      </c>
      <c r="DV52" s="11"/>
      <c r="DW52" s="10">
        <v>1.7734000000000001</v>
      </c>
      <c r="DX52" s="10">
        <v>3.7665999999999999</v>
      </c>
      <c r="DY52" s="10">
        <v>492.97969999999998</v>
      </c>
      <c r="DZ52" s="10">
        <v>0.10992</v>
      </c>
      <c r="EA52" s="10">
        <v>5.1904000000000003</v>
      </c>
      <c r="EB52" s="10">
        <v>12.0167</v>
      </c>
      <c r="EC52" s="10">
        <v>2.6051000000000002</v>
      </c>
      <c r="ED52" s="10">
        <v>4.7632000000000001E-2</v>
      </c>
      <c r="EE52" s="10">
        <v>52.915999999999997</v>
      </c>
      <c r="EF52" s="10">
        <v>2.1798999999999999</v>
      </c>
      <c r="EG52" s="10">
        <v>9.7225000000000001</v>
      </c>
      <c r="EH52" s="10">
        <v>3.3231999999999999</v>
      </c>
      <c r="EI52" s="10">
        <v>4.3968E-2</v>
      </c>
      <c r="EJ52" s="10">
        <v>3.3513000000000002</v>
      </c>
      <c r="EK52" s="10">
        <v>175.48150000000001</v>
      </c>
      <c r="EL52" s="10">
        <v>2.8490000000000002</v>
      </c>
      <c r="EM52" s="10">
        <v>37.592300000000002</v>
      </c>
      <c r="EN52" s="10">
        <v>4.3653000000000004</v>
      </c>
      <c r="EO52" s="10">
        <v>0.80306</v>
      </c>
      <c r="EP52" s="10">
        <v>94.772000000000006</v>
      </c>
      <c r="EQ52" s="10">
        <v>7.3280000000000003E-3</v>
      </c>
      <c r="ER52" s="10">
        <v>70.328100000000006</v>
      </c>
      <c r="ES52" s="10">
        <v>9.2956000000000003</v>
      </c>
      <c r="ET52" s="10">
        <v>45.377699999999997</v>
      </c>
      <c r="EU52" s="10">
        <v>2.0518000000000001</v>
      </c>
      <c r="EV52" s="10">
        <v>42.110700000000001</v>
      </c>
      <c r="EW52" s="10">
        <v>155.3562</v>
      </c>
      <c r="EX52" s="10">
        <v>0.20518</v>
      </c>
      <c r="EY52" s="10">
        <v>7.3136000000000001</v>
      </c>
      <c r="EZ52" s="10">
        <v>4.7925000000000004</v>
      </c>
      <c r="FA52" s="10">
        <v>4.2779999999999996</v>
      </c>
      <c r="FB52" s="10">
        <v>40.6693</v>
      </c>
      <c r="FC52" s="10">
        <v>77.3</v>
      </c>
      <c r="FD52" s="10">
        <v>330.14499999999998</v>
      </c>
      <c r="FE52" s="10">
        <v>59.973100000000002</v>
      </c>
      <c r="FF52" s="10">
        <v>64.257099999999994</v>
      </c>
      <c r="FG52" s="10">
        <v>1.2391000000000001</v>
      </c>
      <c r="FH52" s="11"/>
      <c r="FI52" s="10">
        <v>105.5346</v>
      </c>
      <c r="FJ52" s="10">
        <v>1636.6944000000001</v>
      </c>
      <c r="FK52" s="10">
        <v>0.52781999999999996</v>
      </c>
      <c r="FL52" s="10">
        <v>1.0992E-2</v>
      </c>
      <c r="FM52" s="10">
        <v>0.21618000000000001</v>
      </c>
      <c r="FN52" s="10">
        <v>0.30044999999999999</v>
      </c>
      <c r="FO52" s="10">
        <v>6.5951999999999997E-2</v>
      </c>
      <c r="FP52" s="10">
        <v>0.19053</v>
      </c>
      <c r="FQ52" s="10">
        <v>0.17954000000000001</v>
      </c>
      <c r="FR52" s="10">
        <v>8.4272E-2</v>
      </c>
      <c r="FS52" s="10">
        <v>432.33640000000003</v>
      </c>
      <c r="FT52" s="10">
        <v>4.7389999999999999</v>
      </c>
      <c r="FU52" s="10">
        <v>51.680100000000003</v>
      </c>
      <c r="FV52" s="10">
        <v>0.6925</v>
      </c>
      <c r="FW52" s="10">
        <v>0.53493999999999997</v>
      </c>
      <c r="FX52" s="10">
        <v>57.572400000000002</v>
      </c>
      <c r="FY52" s="10">
        <v>41.5032</v>
      </c>
      <c r="FZ52" s="10">
        <v>18.22</v>
      </c>
      <c r="GA52" s="10">
        <v>0.30778</v>
      </c>
      <c r="GB52" s="10">
        <v>0.60089999999999999</v>
      </c>
      <c r="GC52" s="10">
        <v>494.64229999999998</v>
      </c>
      <c r="GD52" s="10">
        <v>505.7826</v>
      </c>
      <c r="GE52" s="10">
        <v>336.62419999999997</v>
      </c>
      <c r="GF52" s="10">
        <v>11.9878</v>
      </c>
      <c r="GG52" s="10">
        <v>13.6341</v>
      </c>
      <c r="GH52" s="10">
        <v>1.9357</v>
      </c>
      <c r="GI52" s="10">
        <v>1.0331999999999999</v>
      </c>
      <c r="GJ52" s="10">
        <v>50.856000000000002</v>
      </c>
      <c r="GK52" s="10">
        <v>44.714300000000001</v>
      </c>
      <c r="GL52" s="10">
        <v>66.877399999999994</v>
      </c>
      <c r="GM52" s="10">
        <v>260.07279999999997</v>
      </c>
      <c r="GN52" s="10">
        <v>2.8816000000000002</v>
      </c>
      <c r="GO52" s="10">
        <v>5.9154</v>
      </c>
      <c r="GP52" s="10">
        <v>228.1163</v>
      </c>
      <c r="GQ52" s="10">
        <v>0.20152</v>
      </c>
      <c r="GR52" s="10">
        <v>1.5227999999999999</v>
      </c>
      <c r="GS52" s="10">
        <v>0.12091</v>
      </c>
      <c r="GT52" s="10">
        <v>44.094900000000003</v>
      </c>
      <c r="GU52" s="10">
        <v>24.333400000000001</v>
      </c>
      <c r="GV52" s="10">
        <v>309.32119999999998</v>
      </c>
      <c r="GW52" s="10">
        <v>56.665700000000001</v>
      </c>
      <c r="GX52" s="10">
        <v>0.17221</v>
      </c>
      <c r="GY52" s="10">
        <v>1.0992E-2</v>
      </c>
      <c r="GZ52" s="10">
        <v>2.7795999999999998</v>
      </c>
      <c r="HA52" s="10">
        <v>325.53269999999998</v>
      </c>
      <c r="HB52" s="10">
        <v>153.96850000000001</v>
      </c>
      <c r="HC52" s="10">
        <v>544.81200000000001</v>
      </c>
      <c r="HD52" s="10">
        <v>5930.5396000000001</v>
      </c>
      <c r="HE52" s="10">
        <v>8.2006999999999994</v>
      </c>
      <c r="HF52" s="10">
        <v>123.03879999999999</v>
      </c>
      <c r="HG52" s="10">
        <v>9.5264000000000001E-2</v>
      </c>
      <c r="HH52" s="10">
        <v>168.69</v>
      </c>
      <c r="HI52" s="10">
        <v>113.2445</v>
      </c>
      <c r="HJ52" s="10">
        <v>2.1984E-2</v>
      </c>
      <c r="HK52" s="11"/>
      <c r="HL52" s="10">
        <v>22.024999999999999</v>
      </c>
      <c r="HM52" s="10">
        <v>2.1055999999999999</v>
      </c>
      <c r="HN52" s="10">
        <v>7.7188999999999997</v>
      </c>
      <c r="HO52" s="10">
        <f t="shared" si="3"/>
        <v>30881.864628000003</v>
      </c>
      <c r="HP52" s="10">
        <f t="shared" si="4"/>
        <v>30.881864628000002</v>
      </c>
      <c r="HQ52" s="10">
        <f t="shared" si="5"/>
        <v>8.4215611202617957</v>
      </c>
      <c r="HR52" s="11"/>
      <c r="HS52" s="12">
        <v>8.5434000000000001</v>
      </c>
      <c r="HT52" s="12">
        <f t="shared" si="6"/>
        <v>1.4261169995341993E-2</v>
      </c>
      <c r="HU52" s="12"/>
      <c r="HV52" s="13"/>
      <c r="HW52" s="13"/>
    </row>
    <row r="53" spans="1:231" ht="19.95" customHeight="1">
      <c r="A53" s="8">
        <v>2009</v>
      </c>
      <c r="B53" s="9">
        <v>6.74</v>
      </c>
      <c r="C53" s="10">
        <v>4.2538999999999998</v>
      </c>
      <c r="D53" s="10">
        <v>120.1859</v>
      </c>
      <c r="E53" s="10">
        <v>0.51661999999999997</v>
      </c>
      <c r="F53" s="10">
        <v>27.5655</v>
      </c>
      <c r="G53" s="10">
        <v>0.14656</v>
      </c>
      <c r="H53" s="10">
        <v>0.44334000000000001</v>
      </c>
      <c r="I53" s="10">
        <v>178.94919999999999</v>
      </c>
      <c r="J53" s="10">
        <v>4.3632999999999997</v>
      </c>
      <c r="K53" s="10">
        <v>2.6271</v>
      </c>
      <c r="L53" s="10">
        <v>407.4633</v>
      </c>
      <c r="M53" s="10">
        <v>67.493899999999996</v>
      </c>
      <c r="N53" s="10">
        <v>31.8566</v>
      </c>
      <c r="O53" s="10">
        <v>1.6085</v>
      </c>
      <c r="P53" s="10">
        <v>28.0975</v>
      </c>
      <c r="Q53" s="10">
        <v>49.148099999999999</v>
      </c>
      <c r="R53" s="10">
        <v>1.5971</v>
      </c>
      <c r="S53" s="10">
        <v>61.402700000000003</v>
      </c>
      <c r="T53" s="10">
        <v>107.74339999999999</v>
      </c>
      <c r="U53" s="10">
        <v>0.51661999999999997</v>
      </c>
      <c r="V53" s="10">
        <v>4.5079000000000002</v>
      </c>
      <c r="W53" s="10">
        <v>0.47632000000000002</v>
      </c>
      <c r="X53" s="10">
        <v>0.36780000000000002</v>
      </c>
      <c r="Y53" s="10">
        <v>13.4977</v>
      </c>
      <c r="Z53" s="10">
        <v>0.29759999999999998</v>
      </c>
      <c r="AA53" s="10">
        <v>20.537099999999999</v>
      </c>
      <c r="AB53" s="10">
        <v>3.8555000000000001</v>
      </c>
      <c r="AC53" s="10">
        <v>360.0908</v>
      </c>
      <c r="AD53" s="10">
        <v>0.19053</v>
      </c>
      <c r="AE53" s="10">
        <v>7.7457000000000003</v>
      </c>
      <c r="AF53" s="10">
        <v>45.773800000000001</v>
      </c>
      <c r="AG53" s="10">
        <v>1.8302</v>
      </c>
      <c r="AH53" s="10">
        <v>0.16854</v>
      </c>
      <c r="AI53" s="10">
        <v>4.5663</v>
      </c>
      <c r="AJ53" s="10">
        <v>6.5949</v>
      </c>
      <c r="AK53" s="10">
        <v>542.54960000000005</v>
      </c>
      <c r="AL53" s="10">
        <v>0.52029000000000003</v>
      </c>
      <c r="AM53" s="11"/>
      <c r="AN53" s="10">
        <v>0.25281999999999999</v>
      </c>
      <c r="AO53" s="10">
        <v>0.94164999999999999</v>
      </c>
      <c r="AP53" s="10">
        <v>65.919899999999998</v>
      </c>
      <c r="AQ53" s="10">
        <v>7758.8118000000004</v>
      </c>
      <c r="AR53" s="10">
        <v>72.556700000000006</v>
      </c>
      <c r="AS53" s="10">
        <v>0.13189999999999999</v>
      </c>
      <c r="AT53" s="10">
        <v>1.7242</v>
      </c>
      <c r="AU53" s="10">
        <v>4.3968E-2</v>
      </c>
      <c r="AV53" s="10">
        <v>7.7488999999999999</v>
      </c>
      <c r="AW53" s="10">
        <v>5.5143000000000004</v>
      </c>
      <c r="AX53" s="10">
        <v>21.837800000000001</v>
      </c>
      <c r="AY53" s="10">
        <v>28.016100000000002</v>
      </c>
      <c r="AZ53" s="10">
        <v>5.6543999999999999</v>
      </c>
      <c r="BA53" s="10">
        <v>8.4537999999999993</v>
      </c>
      <c r="BB53" s="10">
        <v>115.19370000000001</v>
      </c>
      <c r="BC53" s="10">
        <v>1.6953</v>
      </c>
      <c r="BD53" s="10">
        <v>48.820599999999999</v>
      </c>
      <c r="BE53" s="10">
        <v>0.45800000000000002</v>
      </c>
      <c r="BF53" s="10">
        <v>0.16122</v>
      </c>
      <c r="BG53" s="10">
        <v>19.813700000000001</v>
      </c>
      <c r="BH53" s="10">
        <v>32.502600000000001</v>
      </c>
      <c r="BI53" s="10">
        <v>202.7097</v>
      </c>
      <c r="BJ53" s="10">
        <v>6.3125999999999998</v>
      </c>
      <c r="BK53" s="10">
        <v>6.7527999999999997</v>
      </c>
      <c r="BL53" s="10">
        <v>0.49697000000000002</v>
      </c>
      <c r="BM53" s="10">
        <v>14.339</v>
      </c>
      <c r="BN53" s="10">
        <v>6.4546000000000001</v>
      </c>
      <c r="BO53" s="10">
        <v>0.57525000000000004</v>
      </c>
      <c r="BP53" s="11"/>
      <c r="BQ53" s="10">
        <v>0.77856000000000003</v>
      </c>
      <c r="BR53" s="10">
        <v>55.924399999999999</v>
      </c>
      <c r="BS53" s="10">
        <v>381.59910000000002</v>
      </c>
      <c r="BT53" s="11"/>
      <c r="BU53" s="10">
        <v>0.79874999999999996</v>
      </c>
      <c r="BV53" s="10">
        <v>4.2328000000000001</v>
      </c>
      <c r="BW53" s="10">
        <v>0.38106000000000001</v>
      </c>
      <c r="BX53" s="10">
        <v>6.1349</v>
      </c>
      <c r="BY53" s="10">
        <v>790.19569999999999</v>
      </c>
      <c r="BZ53" s="10">
        <v>7.4977999999999998</v>
      </c>
      <c r="CA53" s="11"/>
      <c r="CB53" s="10">
        <v>104.3548</v>
      </c>
      <c r="CC53" s="10">
        <v>0.57525000000000004</v>
      </c>
      <c r="CD53" s="10">
        <v>0.25281999999999999</v>
      </c>
      <c r="CE53" s="11"/>
      <c r="CF53" s="10">
        <v>11.442</v>
      </c>
      <c r="CG53" s="10">
        <v>2.1105</v>
      </c>
      <c r="CH53" s="10">
        <v>0.23449999999999999</v>
      </c>
      <c r="CI53" s="10">
        <v>1.9089</v>
      </c>
      <c r="CJ53" s="10">
        <v>2.2370000000000001</v>
      </c>
      <c r="CK53" s="10">
        <v>8.0726999999999993</v>
      </c>
      <c r="CL53" s="10">
        <v>41.579799999999999</v>
      </c>
      <c r="CM53" s="10">
        <v>51.774999999999999</v>
      </c>
      <c r="CN53" s="10">
        <v>3.7402000000000002</v>
      </c>
      <c r="CO53" s="10">
        <v>1612.5060000000001</v>
      </c>
      <c r="CP53" s="10">
        <v>447.09879999999998</v>
      </c>
      <c r="CQ53" s="10">
        <v>546.88499999999999</v>
      </c>
      <c r="CR53" s="10">
        <v>103.48909999999999</v>
      </c>
      <c r="CS53" s="10">
        <v>42.179499999999997</v>
      </c>
      <c r="CT53" s="10">
        <v>63.860900000000001</v>
      </c>
      <c r="CU53" s="10">
        <v>422.62419999999997</v>
      </c>
      <c r="CV53" s="10">
        <v>7.9337999999999997</v>
      </c>
      <c r="CW53" s="10">
        <v>1162.6478999999999</v>
      </c>
      <c r="CX53" s="10">
        <v>21.336300000000001</v>
      </c>
      <c r="CY53" s="10">
        <v>224.1456</v>
      </c>
      <c r="CZ53" s="10">
        <v>11.967700000000001</v>
      </c>
      <c r="DA53" s="10">
        <v>5.4960000000000002E-2</v>
      </c>
      <c r="DB53" s="10">
        <v>8.1303999999999998</v>
      </c>
      <c r="DC53" s="10">
        <v>86.954899999999995</v>
      </c>
      <c r="DD53" s="10">
        <v>6.7374000000000001</v>
      </c>
      <c r="DE53" s="10">
        <v>2.6642999999999999</v>
      </c>
      <c r="DF53" s="10">
        <v>7.4519000000000002</v>
      </c>
      <c r="DG53" s="10">
        <v>20.957899999999999</v>
      </c>
      <c r="DH53" s="10">
        <v>2.2166999999999999</v>
      </c>
      <c r="DI53" s="10">
        <v>0.47532000000000002</v>
      </c>
      <c r="DJ53" s="10">
        <v>57.195599999999999</v>
      </c>
      <c r="DK53" s="10">
        <v>0.20535</v>
      </c>
      <c r="DL53" s="10">
        <v>13.0228</v>
      </c>
      <c r="DM53" s="10">
        <v>10.6478</v>
      </c>
      <c r="DN53" s="10">
        <v>1.8906000000000001</v>
      </c>
      <c r="DO53" s="10">
        <v>1.7539</v>
      </c>
      <c r="DP53" s="10">
        <v>1.0945</v>
      </c>
      <c r="DQ53" s="10">
        <v>196.94839999999999</v>
      </c>
      <c r="DR53" s="10">
        <v>0.88302000000000003</v>
      </c>
      <c r="DS53" s="10">
        <v>1.7844</v>
      </c>
      <c r="DT53" s="10">
        <v>2.5326</v>
      </c>
      <c r="DU53" s="10">
        <v>0.13189999999999999</v>
      </c>
      <c r="DV53" s="11"/>
      <c r="DW53" s="10">
        <v>1.9601999999999999</v>
      </c>
      <c r="DX53" s="10">
        <v>3.7080000000000002</v>
      </c>
      <c r="DY53" s="10">
        <v>475.90309999999999</v>
      </c>
      <c r="DZ53" s="10">
        <v>0.14656</v>
      </c>
      <c r="EA53" s="10">
        <v>4.5395000000000003</v>
      </c>
      <c r="EB53" s="10">
        <v>13.074</v>
      </c>
      <c r="EC53" s="10">
        <v>1.6818</v>
      </c>
      <c r="ED53" s="10">
        <v>4.7632000000000001E-2</v>
      </c>
      <c r="EE53" s="10">
        <v>52.648200000000003</v>
      </c>
      <c r="EF53" s="10">
        <v>2.4399000000000002</v>
      </c>
      <c r="EG53" s="10">
        <v>10.1555</v>
      </c>
      <c r="EH53" s="10">
        <v>3.0668000000000002</v>
      </c>
      <c r="EI53" s="10">
        <v>4.0304E-2</v>
      </c>
      <c r="EJ53" s="10">
        <v>4.1288</v>
      </c>
      <c r="EK53" s="10">
        <v>170.1677</v>
      </c>
      <c r="EL53" s="10">
        <v>2.9331999999999998</v>
      </c>
      <c r="EM53" s="10">
        <v>34.7624</v>
      </c>
      <c r="EN53" s="10">
        <v>4.4447999999999999</v>
      </c>
      <c r="EO53" s="10">
        <v>0.96230000000000004</v>
      </c>
      <c r="EP53" s="10">
        <v>74.884900000000002</v>
      </c>
      <c r="EQ53" s="10">
        <v>3.6640000000000002E-3</v>
      </c>
      <c r="ER53" s="10">
        <v>53.565300000000001</v>
      </c>
      <c r="ES53" s="10">
        <v>8.5921000000000003</v>
      </c>
      <c r="ET53" s="10">
        <v>43.89</v>
      </c>
      <c r="EU53" s="10">
        <v>2.0884999999999998</v>
      </c>
      <c r="EV53" s="10">
        <v>40.514600000000002</v>
      </c>
      <c r="EW53" s="10">
        <v>155.21899999999999</v>
      </c>
      <c r="EX53" s="10">
        <v>0.19786000000000001</v>
      </c>
      <c r="EY53" s="10">
        <v>8.4193999999999996</v>
      </c>
      <c r="EZ53" s="10">
        <v>5.0892999999999997</v>
      </c>
      <c r="FA53" s="10">
        <v>4.5315000000000003</v>
      </c>
      <c r="FB53" s="10">
        <v>51.2072</v>
      </c>
      <c r="FC53" s="10">
        <v>76.492500000000007</v>
      </c>
      <c r="FD53" s="10">
        <v>316.60770000000002</v>
      </c>
      <c r="FE53" s="10">
        <v>57.200299999999999</v>
      </c>
      <c r="FF53" s="10">
        <v>68.596900000000005</v>
      </c>
      <c r="FG53" s="10">
        <v>1.2907</v>
      </c>
      <c r="FH53" s="11"/>
      <c r="FI53" s="10">
        <v>86.024100000000004</v>
      </c>
      <c r="FJ53" s="10">
        <v>1528.7648999999999</v>
      </c>
      <c r="FK53" s="10">
        <v>0.55825999999999998</v>
      </c>
      <c r="FL53" s="10">
        <v>1.0992E-2</v>
      </c>
      <c r="FM53" s="10">
        <v>0.2235</v>
      </c>
      <c r="FN53" s="10">
        <v>0.32976</v>
      </c>
      <c r="FO53" s="10">
        <v>6.5951999999999997E-2</v>
      </c>
      <c r="FP53" s="10">
        <v>0.31143999999999999</v>
      </c>
      <c r="FQ53" s="10">
        <v>0.18686</v>
      </c>
      <c r="FR53" s="10">
        <v>9.1600000000000001E-2</v>
      </c>
      <c r="FS53" s="10">
        <v>465.84429999999998</v>
      </c>
      <c r="FT53" s="10">
        <v>4.7130000000000001</v>
      </c>
      <c r="FU53" s="10">
        <v>45.858199999999997</v>
      </c>
      <c r="FV53" s="10">
        <v>0.52395000000000003</v>
      </c>
      <c r="FW53" s="10">
        <v>0.53493999999999997</v>
      </c>
      <c r="FX53" s="10">
        <v>90.097800000000007</v>
      </c>
      <c r="FY53" s="10">
        <v>37.755099999999999</v>
      </c>
      <c r="FZ53" s="10">
        <v>16.329799999999999</v>
      </c>
      <c r="GA53" s="10">
        <v>0.31877</v>
      </c>
      <c r="GB53" s="10">
        <v>0.59723000000000004</v>
      </c>
      <c r="GC53" s="10">
        <v>502.25940000000003</v>
      </c>
      <c r="GD53" s="10">
        <v>506.76440000000002</v>
      </c>
      <c r="GE53" s="10">
        <v>297.24119999999999</v>
      </c>
      <c r="GF53" s="10">
        <v>12.9435</v>
      </c>
      <c r="GG53" s="10">
        <v>14.1889</v>
      </c>
      <c r="GH53" s="10">
        <v>1.9953000000000001</v>
      </c>
      <c r="GI53" s="10">
        <v>1.0736000000000001</v>
      </c>
      <c r="GJ53" s="10">
        <v>47.231099999999998</v>
      </c>
      <c r="GK53" s="10">
        <v>43.534700000000001</v>
      </c>
      <c r="GL53" s="10">
        <v>61.562199999999997</v>
      </c>
      <c r="GM53" s="10">
        <v>246.90690000000001</v>
      </c>
      <c r="GN53" s="10">
        <v>2.431</v>
      </c>
      <c r="GO53" s="10">
        <v>5.7709000000000001</v>
      </c>
      <c r="GP53" s="10">
        <v>243.27930000000001</v>
      </c>
      <c r="GQ53" s="10">
        <v>0.22717000000000001</v>
      </c>
      <c r="GR53" s="10">
        <v>2.7408000000000001</v>
      </c>
      <c r="GS53" s="10">
        <v>0.13189999999999999</v>
      </c>
      <c r="GT53" s="10">
        <v>44.219299999999997</v>
      </c>
      <c r="GU53" s="10">
        <v>24.3216</v>
      </c>
      <c r="GV53" s="10">
        <v>315.3596</v>
      </c>
      <c r="GW53" s="10">
        <v>50.170699999999997</v>
      </c>
      <c r="GX53" s="10">
        <v>0.17954000000000001</v>
      </c>
      <c r="GY53" s="10">
        <v>1.0992E-2</v>
      </c>
      <c r="GZ53" s="10">
        <v>2.9998</v>
      </c>
      <c r="HA53" s="10">
        <v>277.29349999999999</v>
      </c>
      <c r="HB53" s="10">
        <v>165.50020000000001</v>
      </c>
      <c r="HC53" s="10">
        <v>494.29419999999999</v>
      </c>
      <c r="HD53" s="10">
        <v>5491.0357000000004</v>
      </c>
      <c r="HE53" s="10">
        <v>7.9473000000000003</v>
      </c>
      <c r="HF53" s="10">
        <v>106.2518</v>
      </c>
      <c r="HG53" s="10">
        <v>0.12091</v>
      </c>
      <c r="HH53" s="10">
        <v>169.57149999999999</v>
      </c>
      <c r="HI53" s="10">
        <v>122.8329</v>
      </c>
      <c r="HJ53" s="10">
        <v>2.9312000000000001E-2</v>
      </c>
      <c r="HK53" s="11"/>
      <c r="HL53" s="10">
        <v>24.251200000000001</v>
      </c>
      <c r="HM53" s="10">
        <v>2.4062999999999999</v>
      </c>
      <c r="HN53" s="10">
        <v>5.4759000000000002</v>
      </c>
      <c r="HO53" s="10">
        <f t="shared" si="3"/>
        <v>30445.317085999999</v>
      </c>
      <c r="HP53" s="10">
        <f t="shared" si="4"/>
        <v>30.445317085999999</v>
      </c>
      <c r="HQ53" s="10">
        <f t="shared" si="5"/>
        <v>8.3025135222252526</v>
      </c>
      <c r="HR53" s="11"/>
      <c r="HS53" s="12">
        <v>8.7345000000000006</v>
      </c>
      <c r="HT53" s="12">
        <f t="shared" si="6"/>
        <v>4.9457493591476109E-2</v>
      </c>
      <c r="HU53" s="12"/>
      <c r="HV53" s="13"/>
      <c r="HW53" s="13"/>
    </row>
    <row r="54" spans="1:231" ht="19.95" customHeight="1">
      <c r="A54" s="8">
        <v>2010</v>
      </c>
      <c r="B54" s="9">
        <v>8.3978000000000002</v>
      </c>
      <c r="C54" s="10">
        <v>4.4481000000000002</v>
      </c>
      <c r="D54" s="10">
        <v>117.8141</v>
      </c>
      <c r="E54" s="10">
        <v>0.51661999999999997</v>
      </c>
      <c r="F54" s="10">
        <v>28.8645</v>
      </c>
      <c r="G54" s="10">
        <v>0.15021999999999999</v>
      </c>
      <c r="H54" s="10">
        <v>0.45434000000000002</v>
      </c>
      <c r="I54" s="10">
        <v>186.73310000000001</v>
      </c>
      <c r="J54" s="10">
        <v>4.2526999999999999</v>
      </c>
      <c r="K54" s="10">
        <v>2.5062000000000002</v>
      </c>
      <c r="L54" s="10">
        <v>405.50279999999998</v>
      </c>
      <c r="M54" s="10">
        <v>72.011799999999994</v>
      </c>
      <c r="N54" s="10">
        <v>30.632899999999999</v>
      </c>
      <c r="O54" s="10">
        <v>2.3889</v>
      </c>
      <c r="P54" s="10">
        <v>29.0748</v>
      </c>
      <c r="Q54" s="10">
        <v>53.991599999999998</v>
      </c>
      <c r="R54" s="10">
        <v>1.464</v>
      </c>
      <c r="S54" s="10">
        <v>63.156399999999998</v>
      </c>
      <c r="T54" s="10">
        <v>114.56100000000001</v>
      </c>
      <c r="U54" s="10">
        <v>0.53861000000000003</v>
      </c>
      <c r="V54" s="10">
        <v>4.9389000000000003</v>
      </c>
      <c r="W54" s="10">
        <v>0.60821999999999998</v>
      </c>
      <c r="X54" s="10">
        <v>0.46416000000000002</v>
      </c>
      <c r="Y54" s="10">
        <v>14.640700000000001</v>
      </c>
      <c r="Z54" s="10">
        <v>0.20499000000000001</v>
      </c>
      <c r="AA54" s="10">
        <v>21.145700000000001</v>
      </c>
      <c r="AB54" s="10">
        <v>4.5362999999999998</v>
      </c>
      <c r="AC54" s="10">
        <v>411.24020000000002</v>
      </c>
      <c r="AD54" s="10">
        <v>0.19786000000000001</v>
      </c>
      <c r="AE54" s="10">
        <v>8.0608000000000004</v>
      </c>
      <c r="AF54" s="10">
        <v>47.862900000000003</v>
      </c>
      <c r="AG54" s="10">
        <v>2.0367999999999999</v>
      </c>
      <c r="AH54" s="10">
        <v>0.29677999999999999</v>
      </c>
      <c r="AI54" s="10">
        <v>5.0305</v>
      </c>
      <c r="AJ54" s="10">
        <v>6.6619999999999999</v>
      </c>
      <c r="AK54" s="10">
        <v>555.5498</v>
      </c>
      <c r="AL54" s="10">
        <v>0.55693000000000004</v>
      </c>
      <c r="AM54" s="11"/>
      <c r="AN54" s="10">
        <v>0.26380999999999999</v>
      </c>
      <c r="AO54" s="10">
        <v>0.99661</v>
      </c>
      <c r="AP54" s="10">
        <v>71.329800000000006</v>
      </c>
      <c r="AQ54" s="10">
        <v>8500.5427</v>
      </c>
      <c r="AR54" s="10">
        <v>76.278400000000005</v>
      </c>
      <c r="AS54" s="10">
        <v>0.16122</v>
      </c>
      <c r="AT54" s="10">
        <v>1.9621</v>
      </c>
      <c r="AU54" s="10">
        <v>5.1296000000000001E-2</v>
      </c>
      <c r="AV54" s="10">
        <v>7.4936999999999996</v>
      </c>
      <c r="AW54" s="10">
        <v>6.0639000000000003</v>
      </c>
      <c r="AX54" s="10">
        <v>21.050899999999999</v>
      </c>
      <c r="AY54" s="10">
        <v>33.9146</v>
      </c>
      <c r="AZ54" s="10">
        <v>3.8948</v>
      </c>
      <c r="BA54" s="10">
        <v>8.0890000000000004</v>
      </c>
      <c r="BB54" s="10">
        <v>117.50069999999999</v>
      </c>
      <c r="BC54" s="10">
        <v>1.9633</v>
      </c>
      <c r="BD54" s="10">
        <v>49.152299999999997</v>
      </c>
      <c r="BE54" s="10">
        <v>0.51661999999999997</v>
      </c>
      <c r="BF54" s="10">
        <v>0.17221</v>
      </c>
      <c r="BG54" s="10">
        <v>20.574400000000001</v>
      </c>
      <c r="BH54" s="10">
        <v>34.825400000000002</v>
      </c>
      <c r="BI54" s="10">
        <v>198.80770000000001</v>
      </c>
      <c r="BJ54" s="10">
        <v>6.3170000000000002</v>
      </c>
      <c r="BK54" s="10">
        <v>6.8662999999999998</v>
      </c>
      <c r="BL54" s="10">
        <v>0.497</v>
      </c>
      <c r="BM54" s="10">
        <v>18.785</v>
      </c>
      <c r="BN54" s="10">
        <v>6.3371000000000004</v>
      </c>
      <c r="BO54" s="10">
        <v>0.63021000000000005</v>
      </c>
      <c r="BP54" s="11"/>
      <c r="BQ54" s="10">
        <v>1.2012</v>
      </c>
      <c r="BR54" s="10">
        <v>64.099500000000006</v>
      </c>
      <c r="BS54" s="10">
        <v>389.38630000000001</v>
      </c>
      <c r="BT54" s="11"/>
      <c r="BU54" s="10">
        <v>0.80608000000000002</v>
      </c>
      <c r="BV54" s="10">
        <v>4.7823000000000002</v>
      </c>
      <c r="BW54" s="10">
        <v>0.43235000000000001</v>
      </c>
      <c r="BX54" s="10">
        <v>6.2091000000000003</v>
      </c>
      <c r="BY54" s="10">
        <v>832.66970000000003</v>
      </c>
      <c r="BZ54" s="10">
        <v>9.7106999999999992</v>
      </c>
      <c r="CA54" s="11"/>
      <c r="CB54" s="10">
        <v>97.361500000000007</v>
      </c>
      <c r="CC54" s="10">
        <v>0.66317999999999999</v>
      </c>
      <c r="CD54" s="10">
        <v>0.26013999999999998</v>
      </c>
      <c r="CE54" s="11"/>
      <c r="CF54" s="10">
        <v>11.0977</v>
      </c>
      <c r="CG54" s="10">
        <v>2.4842</v>
      </c>
      <c r="CH54" s="10">
        <v>0.23816000000000001</v>
      </c>
      <c r="CI54" s="10">
        <v>1.887</v>
      </c>
      <c r="CJ54" s="10">
        <v>2.0933999999999999</v>
      </c>
      <c r="CK54" s="10">
        <v>7.9584999999999999</v>
      </c>
      <c r="CL54" s="10">
        <v>40.063699999999997</v>
      </c>
      <c r="CM54" s="10">
        <v>52.123699999999999</v>
      </c>
      <c r="CN54" s="10">
        <v>3.6600999999999999</v>
      </c>
      <c r="CO54" s="10">
        <v>1678.4763</v>
      </c>
      <c r="CP54" s="10">
        <v>428.17430000000002</v>
      </c>
      <c r="CQ54" s="10">
        <v>564.03449999999998</v>
      </c>
      <c r="CR54" s="10">
        <v>110.9853</v>
      </c>
      <c r="CS54" s="10">
        <v>41.747900000000001</v>
      </c>
      <c r="CT54" s="10">
        <v>68.286900000000003</v>
      </c>
      <c r="CU54" s="10">
        <v>433.68799999999999</v>
      </c>
      <c r="CV54" s="10">
        <v>7.6772999999999998</v>
      </c>
      <c r="CW54" s="10">
        <v>1214.0686000000001</v>
      </c>
      <c r="CX54" s="10">
        <v>20.6143</v>
      </c>
      <c r="CY54" s="10">
        <v>250.89699999999999</v>
      </c>
      <c r="CZ54" s="10">
        <v>11.746</v>
      </c>
      <c r="DA54" s="10">
        <v>5.8624000000000002E-2</v>
      </c>
      <c r="DB54" s="10">
        <v>8.3721999999999994</v>
      </c>
      <c r="DC54" s="10">
        <v>89.272199999999998</v>
      </c>
      <c r="DD54" s="10">
        <v>6.3129</v>
      </c>
      <c r="DE54" s="10">
        <v>3.0003000000000002</v>
      </c>
      <c r="DF54" s="10">
        <v>8.5488999999999997</v>
      </c>
      <c r="DG54" s="10">
        <v>19.997199999999999</v>
      </c>
      <c r="DH54" s="10">
        <v>2.2753000000000001</v>
      </c>
      <c r="DI54" s="10">
        <v>0.76114999999999999</v>
      </c>
      <c r="DJ54" s="10">
        <v>61.121699999999997</v>
      </c>
      <c r="DK54" s="10">
        <v>0.19081000000000001</v>
      </c>
      <c r="DL54" s="10">
        <v>13.9267</v>
      </c>
      <c r="DM54" s="10">
        <v>11.2193</v>
      </c>
      <c r="DN54" s="10">
        <v>1.2347999999999999</v>
      </c>
      <c r="DO54" s="10">
        <v>1.9382999999999999</v>
      </c>
      <c r="DP54" s="10">
        <v>1.0264</v>
      </c>
      <c r="DQ54" s="10">
        <v>216.53729999999999</v>
      </c>
      <c r="DR54" s="10">
        <v>0.93432000000000004</v>
      </c>
      <c r="DS54" s="10">
        <v>1.9749000000000001</v>
      </c>
      <c r="DT54" s="10">
        <v>2.5817999999999999</v>
      </c>
      <c r="DU54" s="10">
        <v>0.13557</v>
      </c>
      <c r="DV54" s="11"/>
      <c r="DW54" s="10">
        <v>1.9601999999999999</v>
      </c>
      <c r="DX54" s="10">
        <v>3.9131999999999998</v>
      </c>
      <c r="DY54" s="10">
        <v>463.78250000000003</v>
      </c>
      <c r="DZ54" s="10">
        <v>0.10259</v>
      </c>
      <c r="EA54" s="10">
        <v>4.8308999999999997</v>
      </c>
      <c r="EB54" s="10">
        <v>13.82</v>
      </c>
      <c r="EC54" s="10">
        <v>2.4218999999999999</v>
      </c>
      <c r="ED54" s="10">
        <v>6.5951999999999997E-2</v>
      </c>
      <c r="EE54" s="10">
        <v>56.269599999999997</v>
      </c>
      <c r="EF54" s="10">
        <v>2.6339000000000001</v>
      </c>
      <c r="EG54" s="10">
        <v>13.0838</v>
      </c>
      <c r="EH54" s="10">
        <v>3.0960999999999999</v>
      </c>
      <c r="EI54" s="10">
        <v>4.3968E-2</v>
      </c>
      <c r="EJ54" s="10">
        <v>4.8243999999999998</v>
      </c>
      <c r="EK54" s="10">
        <v>182.11789999999999</v>
      </c>
      <c r="EL54" s="10">
        <v>3.5571999999999999</v>
      </c>
      <c r="EM54" s="10">
        <v>34.957799999999999</v>
      </c>
      <c r="EN54" s="10">
        <v>4.4690000000000003</v>
      </c>
      <c r="EO54" s="10">
        <v>1.1692</v>
      </c>
      <c r="EP54" s="10">
        <v>112.31399999999999</v>
      </c>
      <c r="EQ54" s="10">
        <v>3.6640000000000002E-3</v>
      </c>
      <c r="ER54" s="10">
        <v>50.023600000000002</v>
      </c>
      <c r="ES54" s="10">
        <v>8.5005000000000006</v>
      </c>
      <c r="ET54" s="10">
        <v>46.231699999999996</v>
      </c>
      <c r="EU54" s="10">
        <v>2.0335000000000001</v>
      </c>
      <c r="EV54" s="10">
        <v>46.750100000000003</v>
      </c>
      <c r="EW54" s="10">
        <v>154.1447</v>
      </c>
      <c r="EX54" s="10">
        <v>0.20885000000000001</v>
      </c>
      <c r="EY54" s="10">
        <v>9.0726999999999993</v>
      </c>
      <c r="EZ54" s="10">
        <v>4.6605999999999996</v>
      </c>
      <c r="FA54" s="10">
        <v>5.0217999999999998</v>
      </c>
      <c r="FB54" s="10">
        <v>57.150500000000001</v>
      </c>
      <c r="FC54" s="10">
        <v>82.9512</v>
      </c>
      <c r="FD54" s="10">
        <v>334.60680000000002</v>
      </c>
      <c r="FE54" s="10">
        <v>52.989400000000003</v>
      </c>
      <c r="FF54" s="10">
        <v>71.919899999999998</v>
      </c>
      <c r="FG54" s="10">
        <v>1.3132999999999999</v>
      </c>
      <c r="FH54" s="11"/>
      <c r="FI54" s="10">
        <v>84.289699999999996</v>
      </c>
      <c r="FJ54" s="10">
        <v>1612.8848</v>
      </c>
      <c r="FK54" s="10">
        <v>0.57340000000000002</v>
      </c>
      <c r="FL54" s="10">
        <v>1.0992E-2</v>
      </c>
      <c r="FM54" s="10">
        <v>0.21984000000000001</v>
      </c>
      <c r="FN54" s="10">
        <v>0.3664</v>
      </c>
      <c r="FO54" s="10">
        <v>6.9615999999999997E-2</v>
      </c>
      <c r="FP54" s="10">
        <v>0.21984000000000001</v>
      </c>
      <c r="FQ54" s="10">
        <v>0.18686</v>
      </c>
      <c r="FR54" s="10">
        <v>9.8928000000000002E-2</v>
      </c>
      <c r="FS54" s="10">
        <v>517.71590000000003</v>
      </c>
      <c r="FT54" s="10">
        <v>7.2801</v>
      </c>
      <c r="FU54" s="10">
        <v>45.696399999999997</v>
      </c>
      <c r="FV54" s="10">
        <v>0.44334000000000001</v>
      </c>
      <c r="FW54" s="10">
        <v>0.57525000000000004</v>
      </c>
      <c r="FX54" s="10">
        <v>56.619799999999998</v>
      </c>
      <c r="FY54" s="10">
        <v>38.523200000000003</v>
      </c>
      <c r="FZ54" s="10">
        <v>16.3764</v>
      </c>
      <c r="GA54" s="10">
        <v>0.32976</v>
      </c>
      <c r="GB54" s="10">
        <v>0.61189000000000004</v>
      </c>
      <c r="GC54" s="10">
        <v>466.93</v>
      </c>
      <c r="GD54" s="10">
        <v>565.96079999999995</v>
      </c>
      <c r="GE54" s="10">
        <v>283.72500000000002</v>
      </c>
      <c r="GF54" s="10">
        <v>13.0503</v>
      </c>
      <c r="GG54" s="10">
        <v>14.397600000000001</v>
      </c>
      <c r="GH54" s="10">
        <v>2.3954</v>
      </c>
      <c r="GI54" s="10">
        <v>1.0148999999999999</v>
      </c>
      <c r="GJ54" s="10">
        <v>53.042200000000001</v>
      </c>
      <c r="GK54" s="10">
        <v>45.049599999999998</v>
      </c>
      <c r="GL54" s="10">
        <v>60.7164</v>
      </c>
      <c r="GM54" s="10">
        <v>264.81959999999998</v>
      </c>
      <c r="GN54" s="10">
        <v>2.5104000000000002</v>
      </c>
      <c r="GO54" s="10">
        <v>6.9249000000000001</v>
      </c>
      <c r="GP54" s="10">
        <v>256.42230000000001</v>
      </c>
      <c r="GQ54" s="10">
        <v>0.23449999999999999</v>
      </c>
      <c r="GR54" s="10">
        <v>2.5956999999999999</v>
      </c>
      <c r="GS54" s="10">
        <v>0.11724999999999999</v>
      </c>
      <c r="GT54" s="10">
        <v>46.958599999999997</v>
      </c>
      <c r="GU54" s="10">
        <v>27.102499999999999</v>
      </c>
      <c r="GV54" s="10">
        <v>314.38</v>
      </c>
      <c r="GW54" s="10">
        <v>57.108899999999998</v>
      </c>
      <c r="GX54" s="10">
        <v>0.1832</v>
      </c>
      <c r="GY54" s="10">
        <v>7.3280000000000003E-3</v>
      </c>
      <c r="GZ54" s="10">
        <v>3.5695999999999999</v>
      </c>
      <c r="HA54" s="10">
        <v>294.07830000000001</v>
      </c>
      <c r="HB54" s="10">
        <v>155.97720000000001</v>
      </c>
      <c r="HC54" s="10">
        <v>512.02369999999996</v>
      </c>
      <c r="HD54" s="10">
        <v>5698.0558000000001</v>
      </c>
      <c r="HE54" s="10">
        <v>6.2967000000000004</v>
      </c>
      <c r="HF54" s="10">
        <v>103.3433</v>
      </c>
      <c r="HG54" s="10">
        <v>0.12091</v>
      </c>
      <c r="HH54" s="10">
        <v>184.083</v>
      </c>
      <c r="HI54" s="10">
        <v>136.1131</v>
      </c>
      <c r="HJ54" s="10">
        <v>2.9312000000000001E-2</v>
      </c>
      <c r="HK54" s="11"/>
      <c r="HL54" s="10">
        <v>23.151900000000001</v>
      </c>
      <c r="HM54" s="10">
        <v>2.5626000000000002</v>
      </c>
      <c r="HN54" s="10">
        <v>7.8642000000000003</v>
      </c>
      <c r="HO54" s="10">
        <f t="shared" si="3"/>
        <v>32050.56403000002</v>
      </c>
      <c r="HP54" s="10">
        <f t="shared" si="4"/>
        <v>32.050564030000018</v>
      </c>
      <c r="HQ54" s="10">
        <f t="shared" si="5"/>
        <v>8.7402683474229672</v>
      </c>
      <c r="HR54" s="11"/>
      <c r="HS54" s="12">
        <v>8.9255999999999993</v>
      </c>
      <c r="HT54" s="12">
        <f t="shared" si="6"/>
        <v>2.0764055366253475E-2</v>
      </c>
      <c r="HU54" s="12"/>
      <c r="HV54" s="13"/>
      <c r="HW54" s="13"/>
    </row>
    <row r="55" spans="1:231" ht="19.95" customHeight="1">
      <c r="A55" s="8">
        <v>2011</v>
      </c>
      <c r="B55" s="9">
        <v>12.1058</v>
      </c>
      <c r="C55" s="10">
        <v>5.0307000000000004</v>
      </c>
      <c r="D55" s="10">
        <v>119.8069</v>
      </c>
      <c r="E55" s="10">
        <v>0.49098000000000003</v>
      </c>
      <c r="F55" s="10">
        <v>30.329699999999999</v>
      </c>
      <c r="G55" s="10">
        <v>0.1429</v>
      </c>
      <c r="H55" s="10">
        <v>0.44334000000000001</v>
      </c>
      <c r="I55" s="10">
        <v>190.27379999999999</v>
      </c>
      <c r="J55" s="10">
        <v>4.9688999999999997</v>
      </c>
      <c r="K55" s="10">
        <v>2.4988000000000001</v>
      </c>
      <c r="L55" s="10">
        <v>404.1728</v>
      </c>
      <c r="M55" s="10">
        <v>69.898200000000003</v>
      </c>
      <c r="N55" s="10">
        <v>32.975700000000003</v>
      </c>
      <c r="O55" s="10">
        <v>1.8027</v>
      </c>
      <c r="P55" s="10">
        <v>28.636700000000001</v>
      </c>
      <c r="Q55" s="10">
        <v>56.5563</v>
      </c>
      <c r="R55" s="10">
        <v>1.5157</v>
      </c>
      <c r="S55" s="10">
        <v>62.106699999999996</v>
      </c>
      <c r="T55" s="10">
        <v>105.0461</v>
      </c>
      <c r="U55" s="10">
        <v>0.55693000000000004</v>
      </c>
      <c r="V55" s="10">
        <v>4.8868</v>
      </c>
      <c r="W55" s="10">
        <v>0.44334000000000001</v>
      </c>
      <c r="X55" s="10">
        <v>0.66746000000000005</v>
      </c>
      <c r="Y55" s="10">
        <v>16.0381</v>
      </c>
      <c r="Z55" s="10">
        <v>0.26151000000000002</v>
      </c>
      <c r="AA55" s="10">
        <v>23.761299999999999</v>
      </c>
      <c r="AB55" s="10">
        <v>4.0286999999999997</v>
      </c>
      <c r="AC55" s="10">
        <v>429.95940000000002</v>
      </c>
      <c r="AD55" s="10">
        <v>0.20152</v>
      </c>
      <c r="AE55" s="10">
        <v>9.5447000000000006</v>
      </c>
      <c r="AF55" s="10">
        <v>53.177999999999997</v>
      </c>
      <c r="AG55" s="10">
        <v>2.1301999999999999</v>
      </c>
      <c r="AH55" s="10">
        <v>0.35481000000000001</v>
      </c>
      <c r="AI55" s="10">
        <v>5.1052999999999997</v>
      </c>
      <c r="AJ55" s="10">
        <v>6.5212000000000003</v>
      </c>
      <c r="AK55" s="10">
        <v>566.74099999999999</v>
      </c>
      <c r="AL55" s="10">
        <v>0.61555000000000004</v>
      </c>
      <c r="AM55" s="11"/>
      <c r="AN55" s="10">
        <v>0.27845999999999999</v>
      </c>
      <c r="AO55" s="10">
        <v>1.1174999999999999</v>
      </c>
      <c r="AP55" s="10">
        <v>78.083799999999997</v>
      </c>
      <c r="AQ55" s="10">
        <v>9388.1991999999991</v>
      </c>
      <c r="AR55" s="10">
        <v>76.079800000000006</v>
      </c>
      <c r="AS55" s="10">
        <v>0.13557</v>
      </c>
      <c r="AT55" s="10">
        <v>2.2412000000000001</v>
      </c>
      <c r="AU55" s="10">
        <v>5.8624000000000002E-2</v>
      </c>
      <c r="AV55" s="10">
        <v>7.3094000000000001</v>
      </c>
      <c r="AW55" s="10">
        <v>6.3423999999999996</v>
      </c>
      <c r="AX55" s="10">
        <v>20.682400000000001</v>
      </c>
      <c r="AY55" s="10">
        <v>29.1693</v>
      </c>
      <c r="AZ55" s="10">
        <v>4.9687000000000001</v>
      </c>
      <c r="BA55" s="10">
        <v>7.7595000000000001</v>
      </c>
      <c r="BB55" s="10">
        <v>115.0603</v>
      </c>
      <c r="BC55" s="10">
        <v>2.4386999999999999</v>
      </c>
      <c r="BD55" s="10">
        <v>44.197099999999999</v>
      </c>
      <c r="BE55" s="10">
        <v>0.47266000000000002</v>
      </c>
      <c r="BF55" s="10">
        <v>0.15389</v>
      </c>
      <c r="BG55" s="10">
        <v>21.319299999999998</v>
      </c>
      <c r="BH55" s="10">
        <v>37.398000000000003</v>
      </c>
      <c r="BI55" s="10">
        <v>211.03749999999999</v>
      </c>
      <c r="BJ55" s="10">
        <v>6.5004999999999997</v>
      </c>
      <c r="BK55" s="10">
        <v>8.8815000000000008</v>
      </c>
      <c r="BL55" s="10">
        <v>0.56016999999999995</v>
      </c>
      <c r="BM55" s="10">
        <v>18.8551</v>
      </c>
      <c r="BN55" s="10">
        <v>7.4020000000000001</v>
      </c>
      <c r="BO55" s="10">
        <v>0.56791999999999998</v>
      </c>
      <c r="BP55" s="11"/>
      <c r="BQ55" s="10">
        <v>1.0679000000000001</v>
      </c>
      <c r="BR55" s="10">
        <v>56.665700000000001</v>
      </c>
      <c r="BS55" s="10">
        <v>362.50389999999999</v>
      </c>
      <c r="BT55" s="11"/>
      <c r="BU55" s="10">
        <v>0.77676999999999996</v>
      </c>
      <c r="BV55" s="10">
        <v>4.931</v>
      </c>
      <c r="BW55" s="10">
        <v>0.44701000000000002</v>
      </c>
      <c r="BX55" s="10">
        <v>7.8037000000000001</v>
      </c>
      <c r="BY55" s="10">
        <v>809.42690000000005</v>
      </c>
      <c r="BZ55" s="10">
        <v>11.2263</v>
      </c>
      <c r="CA55" s="11"/>
      <c r="CB55" s="10">
        <v>94.549599999999998</v>
      </c>
      <c r="CC55" s="10">
        <v>0.70714999999999995</v>
      </c>
      <c r="CD55" s="10">
        <v>0.25281999999999999</v>
      </c>
      <c r="CE55" s="11"/>
      <c r="CF55" s="10">
        <v>11.2384</v>
      </c>
      <c r="CG55" s="10">
        <v>2.5941000000000001</v>
      </c>
      <c r="CH55" s="10">
        <v>0.24549000000000001</v>
      </c>
      <c r="CI55" s="10">
        <v>1.9601999999999999</v>
      </c>
      <c r="CJ55" s="10">
        <v>2.0865999999999998</v>
      </c>
      <c r="CK55" s="10">
        <v>8.6344999999999992</v>
      </c>
      <c r="CL55" s="10">
        <v>43.1496</v>
      </c>
      <c r="CM55" s="10">
        <v>50.322099999999999</v>
      </c>
      <c r="CN55" s="10">
        <v>3.5106000000000002</v>
      </c>
      <c r="CO55" s="10">
        <v>1766.0726999999999</v>
      </c>
      <c r="CP55" s="10">
        <v>508.07330000000002</v>
      </c>
      <c r="CQ55" s="10">
        <v>579.04</v>
      </c>
      <c r="CR55" s="10">
        <v>135.274</v>
      </c>
      <c r="CS55" s="10">
        <v>38.052199999999999</v>
      </c>
      <c r="CT55" s="10">
        <v>68.594700000000003</v>
      </c>
      <c r="CU55" s="10">
        <v>422.03949999999998</v>
      </c>
      <c r="CV55" s="10">
        <v>8.2555999999999994</v>
      </c>
      <c r="CW55" s="10">
        <v>1264.1550999999999</v>
      </c>
      <c r="CX55" s="10">
        <v>21.2438</v>
      </c>
      <c r="CY55" s="10">
        <v>240.65119999999999</v>
      </c>
      <c r="CZ55" s="10">
        <v>12.928100000000001</v>
      </c>
      <c r="DA55" s="10">
        <v>5.4960000000000002E-2</v>
      </c>
      <c r="DB55" s="10">
        <v>8.31</v>
      </c>
      <c r="DC55" s="10">
        <v>86.262600000000006</v>
      </c>
      <c r="DD55" s="10">
        <v>7.5534999999999997</v>
      </c>
      <c r="DE55" s="10">
        <v>3.1669999999999998</v>
      </c>
      <c r="DF55" s="10">
        <v>7.8053999999999997</v>
      </c>
      <c r="DG55" s="10">
        <v>20.264099999999999</v>
      </c>
      <c r="DH55" s="10">
        <v>2.3266</v>
      </c>
      <c r="DI55" s="10">
        <v>0.85167000000000004</v>
      </c>
      <c r="DJ55" s="10">
        <v>39.264600000000002</v>
      </c>
      <c r="DK55" s="10">
        <v>0.17677999999999999</v>
      </c>
      <c r="DL55" s="10">
        <v>14.271100000000001</v>
      </c>
      <c r="DM55" s="10">
        <v>11.114599999999999</v>
      </c>
      <c r="DN55" s="10">
        <v>1.4557</v>
      </c>
      <c r="DO55" s="10">
        <v>2.3769</v>
      </c>
      <c r="DP55" s="10">
        <v>1.1398999999999999</v>
      </c>
      <c r="DQ55" s="10">
        <v>217.42750000000001</v>
      </c>
      <c r="DR55" s="10">
        <v>0.98562000000000005</v>
      </c>
      <c r="DS55" s="10">
        <v>2.1581000000000001</v>
      </c>
      <c r="DT55" s="10">
        <v>2.5781000000000001</v>
      </c>
      <c r="DU55" s="10">
        <v>0.13922999999999999</v>
      </c>
      <c r="DV55" s="11"/>
      <c r="DW55" s="10">
        <v>2.1105</v>
      </c>
      <c r="DX55" s="10">
        <v>3.9167999999999998</v>
      </c>
      <c r="DY55" s="10">
        <v>484.16480000000001</v>
      </c>
      <c r="DZ55" s="10">
        <v>0.11724999999999999</v>
      </c>
      <c r="EA55" s="10">
        <v>4.9450000000000003</v>
      </c>
      <c r="EB55" s="10">
        <v>21.426500000000001</v>
      </c>
      <c r="EC55" s="10">
        <v>2.4072</v>
      </c>
      <c r="ED55" s="10">
        <v>4.0304E-2</v>
      </c>
      <c r="EE55" s="10">
        <v>56.711599999999997</v>
      </c>
      <c r="EF55" s="10">
        <v>3.1074000000000002</v>
      </c>
      <c r="EG55" s="10">
        <v>15.0679</v>
      </c>
      <c r="EH55" s="10">
        <v>2.7648000000000001</v>
      </c>
      <c r="EI55" s="10">
        <v>4.0304E-2</v>
      </c>
      <c r="EJ55" s="10">
        <v>5.2214999999999998</v>
      </c>
      <c r="EK55" s="10">
        <v>169.06569999999999</v>
      </c>
      <c r="EL55" s="10">
        <v>3.5400999999999998</v>
      </c>
      <c r="EM55" s="10">
        <v>34.249600000000001</v>
      </c>
      <c r="EN55" s="10">
        <v>4.8052999999999999</v>
      </c>
      <c r="EO55" s="10">
        <v>1.3224</v>
      </c>
      <c r="EP55" s="10">
        <v>129.5684</v>
      </c>
      <c r="EQ55" s="10">
        <v>7.3280000000000003E-3</v>
      </c>
      <c r="ER55" s="10">
        <v>36.184399999999997</v>
      </c>
      <c r="ES55" s="10">
        <v>9.1966000000000001</v>
      </c>
      <c r="ET55" s="10">
        <v>45.513399999999997</v>
      </c>
      <c r="EU55" s="10">
        <v>2.246</v>
      </c>
      <c r="EV55" s="10">
        <v>53.263100000000001</v>
      </c>
      <c r="EW55" s="10">
        <v>154.6585</v>
      </c>
      <c r="EX55" s="10">
        <v>0.21618000000000001</v>
      </c>
      <c r="EY55" s="10">
        <v>9.9520999999999997</v>
      </c>
      <c r="EZ55" s="10">
        <v>5.2248999999999999</v>
      </c>
      <c r="FA55" s="10">
        <v>5.1986999999999997</v>
      </c>
      <c r="FB55" s="10">
        <v>48.958799999999997</v>
      </c>
      <c r="FC55" s="10">
        <v>83.743700000000004</v>
      </c>
      <c r="FD55" s="10">
        <v>333.952</v>
      </c>
      <c r="FE55" s="10">
        <v>51.792700000000004</v>
      </c>
      <c r="FF55" s="10">
        <v>79.647599999999997</v>
      </c>
      <c r="FG55" s="10">
        <v>1.2811999999999999</v>
      </c>
      <c r="FH55" s="11"/>
      <c r="FI55" s="10">
        <v>89.518199999999993</v>
      </c>
      <c r="FJ55" s="10">
        <v>1664.9530999999999</v>
      </c>
      <c r="FK55" s="10">
        <v>0.64702000000000004</v>
      </c>
      <c r="FL55" s="10">
        <v>1.0992E-2</v>
      </c>
      <c r="FM55" s="10">
        <v>0.23083000000000001</v>
      </c>
      <c r="FN55" s="10">
        <v>0.33341999999999999</v>
      </c>
      <c r="FO55" s="10">
        <v>6.9615999999999997E-2</v>
      </c>
      <c r="FP55" s="10">
        <v>0.19786000000000001</v>
      </c>
      <c r="FQ55" s="10">
        <v>0.20152</v>
      </c>
      <c r="FR55" s="10">
        <v>0.10259</v>
      </c>
      <c r="FS55" s="10">
        <v>497.65899999999999</v>
      </c>
      <c r="FT55" s="10">
        <v>7.8193000000000001</v>
      </c>
      <c r="FU55" s="10">
        <v>48.957099999999997</v>
      </c>
      <c r="FV55" s="10">
        <v>0.3261</v>
      </c>
      <c r="FW55" s="10">
        <v>0.74378999999999995</v>
      </c>
      <c r="FX55" s="10">
        <v>30.271999999999998</v>
      </c>
      <c r="FY55" s="10">
        <v>38.112000000000002</v>
      </c>
      <c r="FZ55" s="10">
        <v>16.360299999999999</v>
      </c>
      <c r="GA55" s="10">
        <v>0.34442</v>
      </c>
      <c r="GB55" s="10">
        <v>0.61189000000000004</v>
      </c>
      <c r="GC55" s="10">
        <v>473.94900000000001</v>
      </c>
      <c r="GD55" s="10">
        <v>588.40390000000002</v>
      </c>
      <c r="GE55" s="10">
        <v>284.54379999999998</v>
      </c>
      <c r="GF55" s="10">
        <v>14.8866</v>
      </c>
      <c r="GG55" s="10">
        <v>14.0169</v>
      </c>
      <c r="GH55" s="10">
        <v>2.1796000000000002</v>
      </c>
      <c r="GI55" s="10">
        <v>1.0259</v>
      </c>
      <c r="GJ55" s="10">
        <v>49.166899999999998</v>
      </c>
      <c r="GK55" s="10">
        <v>40.985500000000002</v>
      </c>
      <c r="GL55" s="10">
        <v>56.139299999999999</v>
      </c>
      <c r="GM55" s="10">
        <v>266.48520000000002</v>
      </c>
      <c r="GN55" s="10">
        <v>2.3163999999999998</v>
      </c>
      <c r="GO55" s="10">
        <v>7.7521000000000004</v>
      </c>
      <c r="GP55" s="10">
        <v>253.80070000000001</v>
      </c>
      <c r="GQ55" s="10">
        <v>0.24549000000000001</v>
      </c>
      <c r="GR55" s="10">
        <v>2.5038999999999998</v>
      </c>
      <c r="GS55" s="10">
        <v>0.10259</v>
      </c>
      <c r="GT55" s="10">
        <v>46.678699999999999</v>
      </c>
      <c r="GU55" s="10">
        <v>25.5243</v>
      </c>
      <c r="GV55" s="10">
        <v>339.48230000000001</v>
      </c>
      <c r="GW55" s="10">
        <v>62.182299999999998</v>
      </c>
      <c r="GX55" s="10">
        <v>0.1832</v>
      </c>
      <c r="GY55" s="10">
        <v>7.3280000000000003E-3</v>
      </c>
      <c r="GZ55" s="10">
        <v>3.8241000000000001</v>
      </c>
      <c r="HA55" s="10">
        <v>307.95280000000002</v>
      </c>
      <c r="HB55" s="10">
        <v>169.17490000000001</v>
      </c>
      <c r="HC55" s="10">
        <v>469.80380000000002</v>
      </c>
      <c r="HD55" s="10">
        <v>5565.2943999999998</v>
      </c>
      <c r="HE55" s="10">
        <v>7.6538000000000004</v>
      </c>
      <c r="HF55" s="10">
        <v>112.8219</v>
      </c>
      <c r="HG55" s="10">
        <v>0.13189999999999999</v>
      </c>
      <c r="HH55" s="10">
        <v>170.40010000000001</v>
      </c>
      <c r="HI55" s="10">
        <v>145.0478</v>
      </c>
      <c r="HJ55" s="10">
        <v>2.5648000000000001E-2</v>
      </c>
      <c r="HK55" s="11"/>
      <c r="HL55" s="10">
        <v>20.1907</v>
      </c>
      <c r="HM55" s="10">
        <v>2.7814000000000001</v>
      </c>
      <c r="HN55" s="10">
        <v>9.4802999999999997</v>
      </c>
      <c r="HO55" s="10">
        <f t="shared" si="3"/>
        <v>33099.480603999997</v>
      </c>
      <c r="HP55" s="10">
        <f t="shared" si="4"/>
        <v>33.099480604</v>
      </c>
      <c r="HQ55" s="10">
        <f t="shared" si="5"/>
        <v>9.0263105001363524</v>
      </c>
      <c r="HR55" s="11"/>
      <c r="HS55" s="12">
        <v>9.1867900000000002</v>
      </c>
      <c r="HT55" s="12">
        <f t="shared" si="6"/>
        <v>1.7468506394904826E-2</v>
      </c>
      <c r="HU55" s="12"/>
      <c r="HV55" s="13"/>
      <c r="HW55" s="13"/>
    </row>
    <row r="56" spans="1:231" ht="19.95" customHeight="1">
      <c r="A56" s="8">
        <v>2012</v>
      </c>
      <c r="B56" s="9">
        <v>10.218500000000001</v>
      </c>
      <c r="C56" s="10">
        <v>4.6679000000000004</v>
      </c>
      <c r="D56" s="10">
        <v>128.11000000000001</v>
      </c>
      <c r="E56" s="10">
        <v>0.48731000000000002</v>
      </c>
      <c r="F56" s="10">
        <v>33.800600000000003</v>
      </c>
      <c r="G56" s="10">
        <v>0.1429</v>
      </c>
      <c r="H56" s="10">
        <v>0.45800000000000002</v>
      </c>
      <c r="I56" s="10">
        <v>191.7148</v>
      </c>
      <c r="J56" s="10">
        <v>5.7483000000000004</v>
      </c>
      <c r="K56" s="10">
        <v>1.3484</v>
      </c>
      <c r="L56" s="10">
        <v>406.50619999999998</v>
      </c>
      <c r="M56" s="10">
        <v>67.209100000000007</v>
      </c>
      <c r="N56" s="10">
        <v>35.048400000000001</v>
      </c>
      <c r="O56" s="10">
        <v>1.9089</v>
      </c>
      <c r="P56" s="10">
        <v>27.3276</v>
      </c>
      <c r="Q56" s="10">
        <v>60.691299999999998</v>
      </c>
      <c r="R56" s="10">
        <v>1.4595</v>
      </c>
      <c r="S56" s="10">
        <v>63.008299999999998</v>
      </c>
      <c r="T56" s="10">
        <v>102.4288</v>
      </c>
      <c r="U56" s="10">
        <v>0.45067000000000002</v>
      </c>
      <c r="V56" s="10">
        <v>4.6387</v>
      </c>
      <c r="W56" s="10">
        <v>0.3664</v>
      </c>
      <c r="X56" s="10">
        <v>0.77224999999999999</v>
      </c>
      <c r="Y56" s="10">
        <v>18.119299999999999</v>
      </c>
      <c r="Z56" s="10">
        <v>0.31143999999999999</v>
      </c>
      <c r="AA56" s="10">
        <v>22.136299999999999</v>
      </c>
      <c r="AB56" s="10">
        <v>5.0766</v>
      </c>
      <c r="AC56" s="10">
        <v>460.09800000000001</v>
      </c>
      <c r="AD56" s="10">
        <v>0.20152</v>
      </c>
      <c r="AE56" s="10">
        <v>9.4934999999999992</v>
      </c>
      <c r="AF56" s="10">
        <v>48.348999999999997</v>
      </c>
      <c r="AG56" s="10">
        <v>2.62</v>
      </c>
      <c r="AH56" s="10">
        <v>0.37986999999999999</v>
      </c>
      <c r="AI56" s="10">
        <v>5.3334999999999999</v>
      </c>
      <c r="AJ56" s="10">
        <v>6.1581999999999999</v>
      </c>
      <c r="AK56" s="10">
        <v>569.73699999999997</v>
      </c>
      <c r="AL56" s="10">
        <v>0.50197000000000003</v>
      </c>
      <c r="AM56" s="11"/>
      <c r="AN56" s="10">
        <v>0.29311999999999999</v>
      </c>
      <c r="AO56" s="10">
        <v>0.61400999999999994</v>
      </c>
      <c r="AP56" s="10">
        <v>79.703800000000001</v>
      </c>
      <c r="AQ56" s="10">
        <v>9633.8992999999991</v>
      </c>
      <c r="AR56" s="10">
        <v>79.727199999999996</v>
      </c>
      <c r="AS56" s="10">
        <v>0.1429</v>
      </c>
      <c r="AT56" s="10">
        <v>2.9434</v>
      </c>
      <c r="AU56" s="10">
        <v>6.2288000000000003E-2</v>
      </c>
      <c r="AV56" s="10">
        <v>7.2588999999999997</v>
      </c>
      <c r="AW56" s="10">
        <v>8.3392999999999997</v>
      </c>
      <c r="AX56" s="10">
        <v>19.114799999999999</v>
      </c>
      <c r="AY56" s="10">
        <v>29.522200000000002</v>
      </c>
      <c r="AZ56" s="10">
        <v>5.9173999999999998</v>
      </c>
      <c r="BA56" s="10">
        <v>7.2348999999999997</v>
      </c>
      <c r="BB56" s="10">
        <v>110.9552</v>
      </c>
      <c r="BC56" s="10">
        <v>2.3557999999999999</v>
      </c>
      <c r="BD56" s="10">
        <v>39.823599999999999</v>
      </c>
      <c r="BE56" s="10">
        <v>0.47998000000000002</v>
      </c>
      <c r="BF56" s="10">
        <v>0.16488</v>
      </c>
      <c r="BG56" s="10">
        <v>21.4937</v>
      </c>
      <c r="BH56" s="10">
        <v>37.152799999999999</v>
      </c>
      <c r="BI56" s="10">
        <v>210.35489999999999</v>
      </c>
      <c r="BJ56" s="10">
        <v>6.4691000000000001</v>
      </c>
      <c r="BK56" s="10">
        <v>7.5368000000000004</v>
      </c>
      <c r="BL56" s="10">
        <v>0.61843000000000004</v>
      </c>
      <c r="BM56" s="10">
        <v>17.684999999999999</v>
      </c>
      <c r="BN56" s="10">
        <v>8.1098999999999997</v>
      </c>
      <c r="BO56" s="10">
        <v>0.58989999999999998</v>
      </c>
      <c r="BP56" s="11"/>
      <c r="BQ56" s="10">
        <v>1.0410999999999999</v>
      </c>
      <c r="BR56" s="10">
        <v>51.222099999999998</v>
      </c>
      <c r="BS56" s="10">
        <v>363.8091</v>
      </c>
      <c r="BT56" s="11"/>
      <c r="BU56" s="10">
        <v>0.75478000000000001</v>
      </c>
      <c r="BV56" s="10">
        <v>5.0332999999999997</v>
      </c>
      <c r="BW56" s="10">
        <v>0.45434000000000002</v>
      </c>
      <c r="BX56" s="10">
        <v>8.2510999999999992</v>
      </c>
      <c r="BY56" s="10">
        <v>813.8931</v>
      </c>
      <c r="BZ56" s="10">
        <v>14.3164</v>
      </c>
      <c r="CA56" s="11"/>
      <c r="CB56" s="10">
        <v>91.430099999999996</v>
      </c>
      <c r="CC56" s="10">
        <v>0.56791999999999998</v>
      </c>
      <c r="CD56" s="10">
        <v>0.27113999999999999</v>
      </c>
      <c r="CE56" s="11"/>
      <c r="CF56" s="10">
        <v>11.5586</v>
      </c>
      <c r="CG56" s="10">
        <v>2.4218999999999999</v>
      </c>
      <c r="CH56" s="10">
        <v>0.25281999999999999</v>
      </c>
      <c r="CI56" s="10">
        <v>1.9601999999999999</v>
      </c>
      <c r="CJ56" s="10">
        <v>2.1903000000000001</v>
      </c>
      <c r="CK56" s="10">
        <v>8.9885999999999999</v>
      </c>
      <c r="CL56" s="10">
        <v>42.742600000000003</v>
      </c>
      <c r="CM56" s="10">
        <v>46.776699999999998</v>
      </c>
      <c r="CN56" s="10">
        <v>3.5028999999999999</v>
      </c>
      <c r="CO56" s="10">
        <v>1941.3079</v>
      </c>
      <c r="CP56" s="10">
        <v>526.38310000000001</v>
      </c>
      <c r="CQ56" s="10">
        <v>600.68399999999997</v>
      </c>
      <c r="CR56" s="10">
        <v>152.81469999999999</v>
      </c>
      <c r="CS56" s="10">
        <v>38.209600000000002</v>
      </c>
      <c r="CT56" s="10">
        <v>74.784599999999998</v>
      </c>
      <c r="CU56" s="10">
        <v>401.55470000000003</v>
      </c>
      <c r="CV56" s="10">
        <v>7.9127999999999998</v>
      </c>
      <c r="CW56" s="10">
        <v>1305.4329</v>
      </c>
      <c r="CX56" s="10">
        <v>23.813099999999999</v>
      </c>
      <c r="CY56" s="10">
        <v>246.75040000000001</v>
      </c>
      <c r="CZ56" s="10">
        <v>11.986800000000001</v>
      </c>
      <c r="DA56" s="10">
        <v>5.1296000000000001E-2</v>
      </c>
      <c r="DB56" s="10">
        <v>7.8738999999999999</v>
      </c>
      <c r="DC56" s="10">
        <v>100.07299999999999</v>
      </c>
      <c r="DD56" s="10">
        <v>9.9998000000000005</v>
      </c>
      <c r="DE56" s="10">
        <v>3.3978999999999999</v>
      </c>
      <c r="DF56" s="10">
        <v>7.5152000000000001</v>
      </c>
      <c r="DG56" s="10">
        <v>22.331600000000002</v>
      </c>
      <c r="DH56" s="10">
        <v>2.3963000000000001</v>
      </c>
      <c r="DI56" s="10">
        <v>0.96379000000000004</v>
      </c>
      <c r="DJ56" s="10">
        <v>52.408700000000003</v>
      </c>
      <c r="DK56" s="10">
        <v>0.18531</v>
      </c>
      <c r="DL56" s="10">
        <v>14.3308</v>
      </c>
      <c r="DM56" s="10">
        <v>10.8514</v>
      </c>
      <c r="DN56" s="10">
        <v>1.2911999999999999</v>
      </c>
      <c r="DO56" s="10">
        <v>2.7399</v>
      </c>
      <c r="DP56" s="10">
        <v>1.1334</v>
      </c>
      <c r="DQ56" s="10">
        <v>215.8124</v>
      </c>
      <c r="DR56" s="10">
        <v>1.1102000000000001</v>
      </c>
      <c r="DS56" s="10">
        <v>2.2972999999999999</v>
      </c>
      <c r="DT56" s="10">
        <v>2.7621000000000002</v>
      </c>
      <c r="DU56" s="10">
        <v>0.13557</v>
      </c>
      <c r="DV56" s="11"/>
      <c r="DW56" s="10">
        <v>2.3302999999999998</v>
      </c>
      <c r="DX56" s="10">
        <v>3.9643999999999999</v>
      </c>
      <c r="DY56" s="10">
        <v>496.2996</v>
      </c>
      <c r="DZ56" s="10">
        <v>0.12458</v>
      </c>
      <c r="EA56" s="10">
        <v>4.7656999999999998</v>
      </c>
      <c r="EB56" s="10">
        <v>35.030900000000003</v>
      </c>
      <c r="EC56" s="10">
        <v>2.2130999999999998</v>
      </c>
      <c r="ED56" s="10">
        <v>4.3968E-2</v>
      </c>
      <c r="EE56" s="10">
        <v>59.027700000000003</v>
      </c>
      <c r="EF56" s="10">
        <v>2.9807999999999999</v>
      </c>
      <c r="EG56" s="10">
        <v>11.8919</v>
      </c>
      <c r="EH56" s="10">
        <v>3.3639000000000001</v>
      </c>
      <c r="EI56" s="10">
        <v>4.3968E-2</v>
      </c>
      <c r="EJ56" s="10">
        <v>5.4698000000000002</v>
      </c>
      <c r="EK56" s="10">
        <v>165.827</v>
      </c>
      <c r="EL56" s="10">
        <v>3.6379000000000001</v>
      </c>
      <c r="EM56" s="10">
        <v>36.000399999999999</v>
      </c>
      <c r="EN56" s="10">
        <v>4.5452000000000004</v>
      </c>
      <c r="EO56" s="10">
        <v>1.7539</v>
      </c>
      <c r="EP56" s="10">
        <v>116.3306</v>
      </c>
      <c r="EQ56" s="10">
        <v>7.3280000000000003E-3</v>
      </c>
      <c r="ER56" s="10">
        <v>37.566000000000003</v>
      </c>
      <c r="ES56" s="10">
        <v>8.7349999999999994</v>
      </c>
      <c r="ET56" s="10">
        <v>45.0383</v>
      </c>
      <c r="EU56" s="10">
        <v>2.1983999999999999</v>
      </c>
      <c r="EV56" s="10">
        <v>58.6907</v>
      </c>
      <c r="EW56" s="10">
        <v>153.8759</v>
      </c>
      <c r="EX56" s="10">
        <v>0.21618000000000001</v>
      </c>
      <c r="EY56" s="10">
        <v>9.7675999999999998</v>
      </c>
      <c r="EZ56" s="10">
        <v>4.9756999999999998</v>
      </c>
      <c r="FA56" s="10">
        <v>5.1733000000000002</v>
      </c>
      <c r="FB56" s="10">
        <v>54.155799999999999</v>
      </c>
      <c r="FC56" s="10">
        <v>88.406800000000004</v>
      </c>
      <c r="FD56" s="10">
        <v>326.34820000000002</v>
      </c>
      <c r="FE56" s="10">
        <v>49.962600000000002</v>
      </c>
      <c r="FF56" s="10">
        <v>92.3035</v>
      </c>
      <c r="FG56" s="10">
        <v>1.33</v>
      </c>
      <c r="FH56" s="11"/>
      <c r="FI56" s="10">
        <v>86.255700000000004</v>
      </c>
      <c r="FJ56" s="10">
        <v>1679.8661999999999</v>
      </c>
      <c r="FK56" s="10">
        <v>0.71845999999999999</v>
      </c>
      <c r="FL56" s="10">
        <v>1.0992E-2</v>
      </c>
      <c r="FM56" s="10">
        <v>0.21984000000000001</v>
      </c>
      <c r="FN56" s="10">
        <v>0.32976</v>
      </c>
      <c r="FO56" s="10">
        <v>6.9615999999999997E-2</v>
      </c>
      <c r="FP56" s="10">
        <v>0.25281999999999999</v>
      </c>
      <c r="FQ56" s="10">
        <v>0.19786000000000001</v>
      </c>
      <c r="FR56" s="10">
        <v>0.11358</v>
      </c>
      <c r="FS56" s="10">
        <v>563.17949999999996</v>
      </c>
      <c r="FT56" s="10">
        <v>7.3628999999999998</v>
      </c>
      <c r="FU56" s="10">
        <v>43.724499999999999</v>
      </c>
      <c r="FV56" s="10">
        <v>0.42136000000000001</v>
      </c>
      <c r="FW56" s="10">
        <v>0.86104000000000003</v>
      </c>
      <c r="FX56" s="10">
        <v>48.145000000000003</v>
      </c>
      <c r="FY56" s="10">
        <v>36.0212</v>
      </c>
      <c r="FZ56" s="10">
        <v>15.8218</v>
      </c>
      <c r="GA56" s="10">
        <v>0.34808</v>
      </c>
      <c r="GB56" s="10">
        <v>0.60821999999999998</v>
      </c>
      <c r="GC56" s="10">
        <v>461.13900000000001</v>
      </c>
      <c r="GD56" s="10">
        <v>583.63189999999997</v>
      </c>
      <c r="GE56" s="10">
        <v>278.85070000000002</v>
      </c>
      <c r="GF56" s="10">
        <v>15.798</v>
      </c>
      <c r="GG56" s="10">
        <v>14.5387</v>
      </c>
      <c r="GH56" s="10">
        <v>2.6364000000000001</v>
      </c>
      <c r="GI56" s="10">
        <v>1.1908000000000001</v>
      </c>
      <c r="GJ56" s="10">
        <v>46.692</v>
      </c>
      <c r="GK56" s="10">
        <v>42.2547</v>
      </c>
      <c r="GL56" s="10">
        <v>43.790100000000002</v>
      </c>
      <c r="GM56" s="10">
        <v>255.47659999999999</v>
      </c>
      <c r="GN56" s="10">
        <v>2.9041000000000001</v>
      </c>
      <c r="GO56" s="10">
        <v>9.0622000000000007</v>
      </c>
      <c r="GP56" s="10">
        <v>270.17450000000002</v>
      </c>
      <c r="GQ56" s="10">
        <v>0.29311999999999999</v>
      </c>
      <c r="GR56" s="10">
        <v>2.2155999999999998</v>
      </c>
      <c r="GS56" s="10">
        <v>0.10625999999999999</v>
      </c>
      <c r="GT56" s="10">
        <v>45.555999999999997</v>
      </c>
      <c r="GU56" s="10">
        <v>26.3064</v>
      </c>
      <c r="GV56" s="10">
        <v>353.6662</v>
      </c>
      <c r="GW56" s="10">
        <v>64.532899999999998</v>
      </c>
      <c r="GX56" s="10">
        <v>0.1832</v>
      </c>
      <c r="GY56" s="10">
        <v>1.0992E-2</v>
      </c>
      <c r="GZ56" s="10">
        <v>3.6269999999999998</v>
      </c>
      <c r="HA56" s="10">
        <v>303.95260000000002</v>
      </c>
      <c r="HB56" s="10">
        <v>217.36160000000001</v>
      </c>
      <c r="HC56" s="10">
        <v>487.79579999999999</v>
      </c>
      <c r="HD56" s="10">
        <v>5367.5685999999996</v>
      </c>
      <c r="HE56" s="10">
        <v>8.5930999999999997</v>
      </c>
      <c r="HF56" s="10">
        <v>114.92400000000001</v>
      </c>
      <c r="HG56" s="10">
        <v>0.11358</v>
      </c>
      <c r="HH56" s="10">
        <v>190.9743</v>
      </c>
      <c r="HI56" s="10">
        <v>135.6859</v>
      </c>
      <c r="HJ56" s="10">
        <v>2.5648000000000001E-2</v>
      </c>
      <c r="HK56" s="11"/>
      <c r="HL56" s="10">
        <v>18.267499999999998</v>
      </c>
      <c r="HM56" s="10">
        <v>3.4891000000000001</v>
      </c>
      <c r="HN56" s="10">
        <v>7.6589</v>
      </c>
      <c r="HO56" s="10">
        <f t="shared" si="3"/>
        <v>33658.300655999999</v>
      </c>
      <c r="HP56" s="10">
        <f t="shared" si="4"/>
        <v>33.658300656000002</v>
      </c>
      <c r="HQ56" s="10">
        <f t="shared" si="5"/>
        <v>9.1787021150804478</v>
      </c>
      <c r="HR56" s="11"/>
      <c r="HS56" s="12">
        <v>9.4479799999999994</v>
      </c>
      <c r="HT56" s="12">
        <f t="shared" si="6"/>
        <v>2.8501106577231483E-2</v>
      </c>
      <c r="HU56" s="12"/>
      <c r="HV56" s="13"/>
      <c r="HW56" s="13"/>
    </row>
    <row r="57" spans="1:231" ht="19.95" customHeight="1">
      <c r="A57" s="8">
        <v>2013</v>
      </c>
      <c r="B57" s="9">
        <v>8.4407999999999994</v>
      </c>
      <c r="C57" s="10">
        <v>4.9280999999999997</v>
      </c>
      <c r="D57" s="10">
        <v>132.43459999999999</v>
      </c>
      <c r="E57" s="10">
        <v>0.47632000000000002</v>
      </c>
      <c r="F57" s="10">
        <v>33.228499999999997</v>
      </c>
      <c r="G57" s="10">
        <v>0.11724999999999999</v>
      </c>
      <c r="H57" s="10">
        <v>0.46166000000000001</v>
      </c>
      <c r="I57" s="10">
        <v>190.15170000000001</v>
      </c>
      <c r="J57" s="10">
        <v>5.5350000000000001</v>
      </c>
      <c r="K57" s="10">
        <v>0.86104000000000003</v>
      </c>
      <c r="L57" s="10">
        <v>397.94319999999999</v>
      </c>
      <c r="M57" s="10">
        <v>67.745699999999999</v>
      </c>
      <c r="N57" s="10">
        <v>35.214700000000001</v>
      </c>
      <c r="O57" s="10">
        <v>2.8835999999999999</v>
      </c>
      <c r="P57" s="10">
        <v>31.186900000000001</v>
      </c>
      <c r="Q57" s="10">
        <v>61.781599999999997</v>
      </c>
      <c r="R57" s="10">
        <v>1.4382999999999999</v>
      </c>
      <c r="S57" s="10">
        <v>63.743400000000001</v>
      </c>
      <c r="T57" s="10">
        <v>102.67440000000001</v>
      </c>
      <c r="U57" s="10">
        <v>0.47632000000000002</v>
      </c>
      <c r="V57" s="10">
        <v>4.8832000000000004</v>
      </c>
      <c r="W57" s="10">
        <v>0.53493999999999997</v>
      </c>
      <c r="X57" s="10">
        <v>0.85324999999999995</v>
      </c>
      <c r="Y57" s="10">
        <v>18.425899999999999</v>
      </c>
      <c r="Z57" s="10">
        <v>0.32242999999999999</v>
      </c>
      <c r="AA57" s="10">
        <v>21.800999999999998</v>
      </c>
      <c r="AB57" s="10">
        <v>5.6628999999999996</v>
      </c>
      <c r="AC57" s="10">
        <v>495.04680000000002</v>
      </c>
      <c r="AD57" s="10">
        <v>0.20152</v>
      </c>
      <c r="AE57" s="10">
        <v>7.6284000000000001</v>
      </c>
      <c r="AF57" s="10">
        <v>42.649500000000003</v>
      </c>
      <c r="AG57" s="10">
        <v>2.8641999999999999</v>
      </c>
      <c r="AH57" s="10">
        <v>0.39913999999999999</v>
      </c>
      <c r="AI57" s="10">
        <v>5.4757999999999996</v>
      </c>
      <c r="AJ57" s="10">
        <v>5.0692000000000004</v>
      </c>
      <c r="AK57" s="10">
        <v>576.327</v>
      </c>
      <c r="AL57" s="10">
        <v>0.49464000000000002</v>
      </c>
      <c r="AM57" s="11"/>
      <c r="AN57" s="10">
        <v>0.28578999999999999</v>
      </c>
      <c r="AO57" s="10">
        <v>0.65493000000000001</v>
      </c>
      <c r="AP57" s="10">
        <v>81.691599999999994</v>
      </c>
      <c r="AQ57" s="10">
        <v>9796.5269000000008</v>
      </c>
      <c r="AR57" s="10">
        <v>89.988799999999998</v>
      </c>
      <c r="AS57" s="10">
        <v>0.17587</v>
      </c>
      <c r="AT57" s="10">
        <v>3.2080000000000002</v>
      </c>
      <c r="AU57" s="10">
        <v>6.2288000000000003E-2</v>
      </c>
      <c r="AV57" s="10">
        <v>7.6326999999999998</v>
      </c>
      <c r="AW57" s="10">
        <v>9.5264000000000006</v>
      </c>
      <c r="AX57" s="10">
        <v>18.454599999999999</v>
      </c>
      <c r="AY57" s="10">
        <v>27.7483</v>
      </c>
      <c r="AZ57" s="10">
        <v>5.1002999999999998</v>
      </c>
      <c r="BA57" s="10">
        <v>6.5544000000000002</v>
      </c>
      <c r="BB57" s="10">
        <v>106.42749999999999</v>
      </c>
      <c r="BC57" s="10">
        <v>3.5381</v>
      </c>
      <c r="BD57" s="10">
        <v>41.729500000000002</v>
      </c>
      <c r="BE57" s="10">
        <v>0.55554000000000003</v>
      </c>
      <c r="BF57" s="10">
        <v>0.16854</v>
      </c>
      <c r="BG57" s="10">
        <v>21.049700000000001</v>
      </c>
      <c r="BH57" s="10">
        <v>39.361899999999999</v>
      </c>
      <c r="BI57" s="10">
        <v>206.86760000000001</v>
      </c>
      <c r="BJ57" s="10">
        <v>6.0936000000000003</v>
      </c>
      <c r="BK57" s="10">
        <v>7.72</v>
      </c>
      <c r="BL57" s="10">
        <v>0.63832</v>
      </c>
      <c r="BM57" s="10">
        <v>19.552</v>
      </c>
      <c r="BN57" s="10">
        <v>9.7807999999999993</v>
      </c>
      <c r="BO57" s="10">
        <v>0.67784</v>
      </c>
      <c r="BP57" s="11"/>
      <c r="BQ57" s="10">
        <v>1.3160000000000001</v>
      </c>
      <c r="BR57" s="10">
        <v>51.750999999999998</v>
      </c>
      <c r="BS57" s="10">
        <v>365.83120000000002</v>
      </c>
      <c r="BT57" s="11"/>
      <c r="BU57" s="10">
        <v>0.76210999999999995</v>
      </c>
      <c r="BV57" s="10">
        <v>5.2686999999999999</v>
      </c>
      <c r="BW57" s="10">
        <v>0.43235000000000001</v>
      </c>
      <c r="BX57" s="10">
        <v>8.0086999999999993</v>
      </c>
      <c r="BY57" s="10">
        <v>831.31629999999996</v>
      </c>
      <c r="BZ57" s="10">
        <v>14.1798</v>
      </c>
      <c r="CA57" s="11"/>
      <c r="CB57" s="10">
        <v>81.735100000000003</v>
      </c>
      <c r="CC57" s="10">
        <v>0.53493999999999997</v>
      </c>
      <c r="CD57" s="10">
        <v>0.30410999999999999</v>
      </c>
      <c r="CE57" s="11"/>
      <c r="CF57" s="10">
        <v>12.5823</v>
      </c>
      <c r="CG57" s="10">
        <v>2.1105</v>
      </c>
      <c r="CH57" s="10">
        <v>0.25647999999999999</v>
      </c>
      <c r="CI57" s="10">
        <v>1.9053</v>
      </c>
      <c r="CJ57" s="10">
        <v>2.2934000000000001</v>
      </c>
      <c r="CK57" s="10">
        <v>9.2446999999999999</v>
      </c>
      <c r="CL57" s="10">
        <v>44.305599999999998</v>
      </c>
      <c r="CM57" s="10">
        <v>43.704799999999999</v>
      </c>
      <c r="CN57" s="10">
        <v>3.4927999999999999</v>
      </c>
      <c r="CO57" s="10">
        <v>2033.4025999999999</v>
      </c>
      <c r="CP57" s="10">
        <v>411.19099999999997</v>
      </c>
      <c r="CQ57" s="10">
        <v>608.71010000000001</v>
      </c>
      <c r="CR57" s="10">
        <v>163.67670000000001</v>
      </c>
      <c r="CS57" s="10">
        <v>37.235300000000002</v>
      </c>
      <c r="CT57" s="10">
        <v>64.974699999999999</v>
      </c>
      <c r="CU57" s="10">
        <v>367.56869999999998</v>
      </c>
      <c r="CV57" s="10">
        <v>8.4922000000000004</v>
      </c>
      <c r="CW57" s="10">
        <v>1314.703</v>
      </c>
      <c r="CX57" s="10">
        <v>23.8126</v>
      </c>
      <c r="CY57" s="10">
        <v>254.54740000000001</v>
      </c>
      <c r="CZ57" s="10">
        <v>12.7704</v>
      </c>
      <c r="DA57" s="10">
        <v>5.1296000000000001E-2</v>
      </c>
      <c r="DB57" s="10">
        <v>8.0058000000000007</v>
      </c>
      <c r="DC57" s="10">
        <v>93.582800000000006</v>
      </c>
      <c r="DD57" s="10">
        <v>9.6585000000000001</v>
      </c>
      <c r="DE57" s="10">
        <v>4.0065999999999997</v>
      </c>
      <c r="DF57" s="10">
        <v>7.3819999999999997</v>
      </c>
      <c r="DG57" s="10">
        <v>22.163399999999999</v>
      </c>
      <c r="DH57" s="10">
        <v>2.4218999999999999</v>
      </c>
      <c r="DI57" s="10">
        <v>0.87683</v>
      </c>
      <c r="DJ57" s="10">
        <v>55.339100000000002</v>
      </c>
      <c r="DK57" s="10">
        <v>0.19253999999999999</v>
      </c>
      <c r="DL57" s="10">
        <v>13.340299999999999</v>
      </c>
      <c r="DM57" s="10">
        <v>10.303900000000001</v>
      </c>
      <c r="DN57" s="10">
        <v>1.204</v>
      </c>
      <c r="DO57" s="10">
        <v>3.1444999999999999</v>
      </c>
      <c r="DP57" s="10">
        <v>1.1623000000000001</v>
      </c>
      <c r="DQ57" s="10">
        <v>234.4188</v>
      </c>
      <c r="DR57" s="10">
        <v>1.0919000000000001</v>
      </c>
      <c r="DS57" s="10">
        <v>2.6486000000000001</v>
      </c>
      <c r="DT57" s="10">
        <v>2.4378000000000002</v>
      </c>
      <c r="DU57" s="10">
        <v>0.13922999999999999</v>
      </c>
      <c r="DV57" s="11"/>
      <c r="DW57" s="10">
        <v>2.0445000000000002</v>
      </c>
      <c r="DX57" s="10">
        <v>4.0670000000000002</v>
      </c>
      <c r="DY57" s="10">
        <v>490.12970000000001</v>
      </c>
      <c r="DZ57" s="10">
        <v>0.13557</v>
      </c>
      <c r="EA57" s="10">
        <v>4.8994</v>
      </c>
      <c r="EB57" s="10">
        <v>43.558799999999998</v>
      </c>
      <c r="EC57" s="10">
        <v>2.1507999999999998</v>
      </c>
      <c r="ED57" s="10">
        <v>5.1296000000000001E-2</v>
      </c>
      <c r="EE57" s="10">
        <v>58.734699999999997</v>
      </c>
      <c r="EF57" s="10">
        <v>4.0570000000000004</v>
      </c>
      <c r="EG57" s="10">
        <v>12.936199999999999</v>
      </c>
      <c r="EH57" s="10">
        <v>2.6012</v>
      </c>
      <c r="EI57" s="10">
        <v>4.7632000000000001E-2</v>
      </c>
      <c r="EJ57" s="10">
        <v>6.2187999999999999</v>
      </c>
      <c r="EK57" s="10">
        <v>165.71789999999999</v>
      </c>
      <c r="EL57" s="10">
        <v>3.8481999999999998</v>
      </c>
      <c r="EM57" s="10">
        <v>35.240900000000003</v>
      </c>
      <c r="EN57" s="10">
        <v>4.3513999999999999</v>
      </c>
      <c r="EO57" s="10">
        <v>1.8911</v>
      </c>
      <c r="EP57" s="10">
        <v>122.09780000000001</v>
      </c>
      <c r="EQ57" s="10">
        <v>7.3280000000000003E-3</v>
      </c>
      <c r="ER57" s="10">
        <v>27.014600000000002</v>
      </c>
      <c r="ES57" s="10">
        <v>7.7713000000000001</v>
      </c>
      <c r="ET57" s="10">
        <v>44.982399999999998</v>
      </c>
      <c r="EU57" s="10">
        <v>2.4365999999999999</v>
      </c>
      <c r="EV57" s="10">
        <v>61.120699999999999</v>
      </c>
      <c r="EW57" s="10">
        <v>150.4513</v>
      </c>
      <c r="EX57" s="10">
        <v>0.21984000000000001</v>
      </c>
      <c r="EY57" s="10">
        <v>11.366</v>
      </c>
      <c r="EZ57" s="10">
        <v>5.3311000000000002</v>
      </c>
      <c r="FA57" s="10">
        <v>5.1721000000000004</v>
      </c>
      <c r="FB57" s="10">
        <v>42.928899999999999</v>
      </c>
      <c r="FC57" s="10">
        <v>95.792599999999993</v>
      </c>
      <c r="FD57" s="10">
        <v>322.22539999999998</v>
      </c>
      <c r="FE57" s="10">
        <v>48.161900000000003</v>
      </c>
      <c r="FF57" s="10">
        <v>82.697900000000004</v>
      </c>
      <c r="FG57" s="10">
        <v>1.4473</v>
      </c>
      <c r="FH57" s="11"/>
      <c r="FI57" s="10">
        <v>76.875900000000001</v>
      </c>
      <c r="FJ57" s="10">
        <v>1619.1729</v>
      </c>
      <c r="FK57" s="10">
        <v>0.78227000000000002</v>
      </c>
      <c r="FL57" s="10">
        <v>1.0992E-2</v>
      </c>
      <c r="FM57" s="10">
        <v>0.2235</v>
      </c>
      <c r="FN57" s="10">
        <v>0.30778</v>
      </c>
      <c r="FO57" s="10">
        <v>7.3279999999999998E-2</v>
      </c>
      <c r="FP57" s="10">
        <v>0.20885000000000001</v>
      </c>
      <c r="FQ57" s="10">
        <v>0.19786000000000001</v>
      </c>
      <c r="FR57" s="10">
        <v>0.11358</v>
      </c>
      <c r="FS57" s="10">
        <v>540.80520000000001</v>
      </c>
      <c r="FT57" s="10">
        <v>7.8535000000000004</v>
      </c>
      <c r="FU57" s="10">
        <v>44.5458</v>
      </c>
      <c r="FV57" s="10">
        <v>0.32976</v>
      </c>
      <c r="FW57" s="10">
        <v>1.0331999999999999</v>
      </c>
      <c r="FX57" s="10">
        <v>54.366399999999999</v>
      </c>
      <c r="FY57" s="10">
        <v>35.577800000000003</v>
      </c>
      <c r="FZ57" s="10">
        <v>15.1889</v>
      </c>
      <c r="GA57" s="10">
        <v>0.37373000000000001</v>
      </c>
      <c r="GB57" s="10">
        <v>0.63021000000000005</v>
      </c>
      <c r="GC57" s="10">
        <v>455.86590000000001</v>
      </c>
      <c r="GD57" s="10">
        <v>591.53989999999999</v>
      </c>
      <c r="GE57" s="10">
        <v>252.7638</v>
      </c>
      <c r="GF57" s="10">
        <v>14.678100000000001</v>
      </c>
      <c r="GG57" s="10">
        <v>16.1755</v>
      </c>
      <c r="GH57" s="10">
        <v>2.7448999999999999</v>
      </c>
      <c r="GI57" s="10">
        <v>1.5462</v>
      </c>
      <c r="GJ57" s="10">
        <v>45.086300000000001</v>
      </c>
      <c r="GK57" s="10">
        <v>43.1858</v>
      </c>
      <c r="GL57" s="10">
        <v>35.808999999999997</v>
      </c>
      <c r="GM57" s="10">
        <v>257.70769999999999</v>
      </c>
      <c r="GN57" s="10">
        <v>2.8692000000000002</v>
      </c>
      <c r="GO57" s="10">
        <v>9.9080999999999992</v>
      </c>
      <c r="GP57" s="10">
        <v>286.06869999999998</v>
      </c>
      <c r="GQ57" s="10">
        <v>0.44334000000000001</v>
      </c>
      <c r="GR57" s="10">
        <v>2.1286999999999998</v>
      </c>
      <c r="GS57" s="10">
        <v>0.11358</v>
      </c>
      <c r="GT57" s="10">
        <v>45.235700000000001</v>
      </c>
      <c r="GU57" s="10">
        <v>26.865500000000001</v>
      </c>
      <c r="GV57" s="10">
        <v>345.22059999999999</v>
      </c>
      <c r="GW57" s="10">
        <v>66.374099999999999</v>
      </c>
      <c r="GX57" s="10">
        <v>0.18686</v>
      </c>
      <c r="GY57" s="10">
        <v>1.0992E-2</v>
      </c>
      <c r="GZ57" s="10">
        <v>3.7545000000000002</v>
      </c>
      <c r="HA57" s="10">
        <v>297.29430000000002</v>
      </c>
      <c r="HB57" s="10">
        <v>221.83609999999999</v>
      </c>
      <c r="HC57" s="10">
        <v>477.90100000000001</v>
      </c>
      <c r="HD57" s="10">
        <v>5514.0293000000001</v>
      </c>
      <c r="HE57" s="10">
        <v>7.4935</v>
      </c>
      <c r="HF57" s="10">
        <v>109.32340000000001</v>
      </c>
      <c r="HG57" s="10">
        <v>0.10625999999999999</v>
      </c>
      <c r="HH57" s="10">
        <v>182.8501</v>
      </c>
      <c r="HI57" s="10">
        <v>140.89320000000001</v>
      </c>
      <c r="HJ57" s="10">
        <v>2.1984E-2</v>
      </c>
      <c r="HK57" s="11"/>
      <c r="HL57" s="10">
        <v>24.976700000000001</v>
      </c>
      <c r="HM57" s="10">
        <v>3.7561</v>
      </c>
      <c r="HN57" s="10">
        <v>11.6166</v>
      </c>
      <c r="HO57" s="10">
        <f t="shared" si="3"/>
        <v>33869.087808000018</v>
      </c>
      <c r="HP57" s="10">
        <f t="shared" si="4"/>
        <v>33.869087808000018</v>
      </c>
      <c r="HQ57" s="10">
        <f t="shared" si="5"/>
        <v>9.2361842945186847</v>
      </c>
      <c r="HR57" s="11"/>
      <c r="HS57" s="12">
        <v>9.7091700000000003</v>
      </c>
      <c r="HT57" s="12">
        <f t="shared" si="6"/>
        <v>4.8715359343931119E-2</v>
      </c>
      <c r="HU57" s="12"/>
      <c r="HV57" s="13"/>
      <c r="HW57" s="13"/>
    </row>
    <row r="58" spans="1:231" ht="19.95" customHeight="1">
      <c r="A58" s="8">
        <v>2014</v>
      </c>
      <c r="B58" s="9">
        <v>7.7743000000000002</v>
      </c>
      <c r="C58" s="10">
        <v>5.6205999999999996</v>
      </c>
      <c r="D58" s="10">
        <v>143.2208</v>
      </c>
      <c r="E58" s="10">
        <v>0.46166000000000001</v>
      </c>
      <c r="F58" s="10">
        <v>44.248800000000003</v>
      </c>
      <c r="G58" s="10">
        <v>0.13922999999999999</v>
      </c>
      <c r="H58" s="10">
        <v>0.46166000000000001</v>
      </c>
      <c r="I58" s="10">
        <v>188.69739999999999</v>
      </c>
      <c r="J58" s="10">
        <v>5.5598999999999998</v>
      </c>
      <c r="K58" s="10">
        <v>0.87202999999999997</v>
      </c>
      <c r="L58" s="10">
        <v>394.11689999999999</v>
      </c>
      <c r="M58" s="10">
        <v>64.084400000000002</v>
      </c>
      <c r="N58" s="10">
        <v>36.975200000000001</v>
      </c>
      <c r="O58" s="10">
        <v>2.3633000000000002</v>
      </c>
      <c r="P58" s="10">
        <v>31.1479</v>
      </c>
      <c r="Q58" s="10">
        <v>65.978700000000003</v>
      </c>
      <c r="R58" s="10">
        <v>1.2625</v>
      </c>
      <c r="S58" s="10">
        <v>63.083599999999997</v>
      </c>
      <c r="T58" s="10">
        <v>96.811300000000003</v>
      </c>
      <c r="U58" s="10">
        <v>0.46899000000000002</v>
      </c>
      <c r="V58" s="10">
        <v>5.2165999999999997</v>
      </c>
      <c r="W58" s="10">
        <v>0.67051000000000005</v>
      </c>
      <c r="X58" s="10">
        <v>0.94799</v>
      </c>
      <c r="Y58" s="10">
        <v>19.618200000000002</v>
      </c>
      <c r="Z58" s="10">
        <v>0.32242999999999999</v>
      </c>
      <c r="AA58" s="10">
        <v>19.311</v>
      </c>
      <c r="AB58" s="10">
        <v>6.8501000000000003</v>
      </c>
      <c r="AC58" s="10">
        <v>523.89400000000001</v>
      </c>
      <c r="AD58" s="10">
        <v>0.21251</v>
      </c>
      <c r="AE58" s="10">
        <v>8.9254999999999995</v>
      </c>
      <c r="AF58" s="10">
        <v>45.1693</v>
      </c>
      <c r="AG58" s="10">
        <v>2.9119999999999999</v>
      </c>
      <c r="AH58" s="10">
        <v>0.37656000000000001</v>
      </c>
      <c r="AI58" s="10">
        <v>6.5164</v>
      </c>
      <c r="AJ58" s="10">
        <v>6.8502999999999998</v>
      </c>
      <c r="AK58" s="10">
        <v>575.94219999999996</v>
      </c>
      <c r="AL58" s="10">
        <v>0.48731000000000002</v>
      </c>
      <c r="AM58" s="11"/>
      <c r="AN58" s="10">
        <v>0.28946</v>
      </c>
      <c r="AO58" s="10">
        <v>0.98926000000000003</v>
      </c>
      <c r="AP58" s="10">
        <v>77.422799999999995</v>
      </c>
      <c r="AQ58" s="10">
        <v>9820.3601999999992</v>
      </c>
      <c r="AR58" s="10">
        <v>90.952299999999994</v>
      </c>
      <c r="AS58" s="10">
        <v>0.15389</v>
      </c>
      <c r="AT58" s="10">
        <v>3.1034000000000002</v>
      </c>
      <c r="AU58" s="10">
        <v>6.5951999999999997E-2</v>
      </c>
      <c r="AV58" s="10">
        <v>7.7485999999999997</v>
      </c>
      <c r="AW58" s="10">
        <v>9.7388999999999992</v>
      </c>
      <c r="AX58" s="10">
        <v>17.704999999999998</v>
      </c>
      <c r="AY58" s="10">
        <v>27.425999999999998</v>
      </c>
      <c r="AZ58" s="10">
        <v>5.7561</v>
      </c>
      <c r="BA58" s="10">
        <v>6.9345999999999997</v>
      </c>
      <c r="BB58" s="10">
        <v>104.04989999999999</v>
      </c>
      <c r="BC58" s="10">
        <v>4.6313000000000004</v>
      </c>
      <c r="BD58" s="10">
        <v>37.527299999999997</v>
      </c>
      <c r="BE58" s="10">
        <v>0.37330000000000002</v>
      </c>
      <c r="BF58" s="10">
        <v>0.17587</v>
      </c>
      <c r="BG58" s="10">
        <v>21.645700000000001</v>
      </c>
      <c r="BH58" s="10">
        <v>43.207799999999999</v>
      </c>
      <c r="BI58" s="10">
        <v>221.94229999999999</v>
      </c>
      <c r="BJ58" s="10">
        <v>6.1475</v>
      </c>
      <c r="BK58" s="10">
        <v>7.306</v>
      </c>
      <c r="BL58" s="10">
        <v>0.67171000000000003</v>
      </c>
      <c r="BM58" s="10">
        <v>18.7559</v>
      </c>
      <c r="BN58" s="10">
        <v>12.0174</v>
      </c>
      <c r="BO58" s="10">
        <v>0.59723000000000004</v>
      </c>
      <c r="BP58" s="11"/>
      <c r="BQ58" s="10">
        <v>1.6228</v>
      </c>
      <c r="BR58" s="10">
        <v>47.643900000000002</v>
      </c>
      <c r="BS58" s="10">
        <v>333.9221</v>
      </c>
      <c r="BT58" s="11"/>
      <c r="BU58" s="10">
        <v>0.74012999999999995</v>
      </c>
      <c r="BV58" s="10">
        <v>5.3122999999999996</v>
      </c>
      <c r="BW58" s="10">
        <v>0.51295999999999997</v>
      </c>
      <c r="BX58" s="10">
        <v>8.7871000000000006</v>
      </c>
      <c r="BY58" s="10">
        <v>792.68489999999997</v>
      </c>
      <c r="BZ58" s="10">
        <v>14.7545</v>
      </c>
      <c r="CA58" s="11"/>
      <c r="CB58" s="10">
        <v>78.659800000000004</v>
      </c>
      <c r="CC58" s="10">
        <v>0.49830000000000002</v>
      </c>
      <c r="CD58" s="10">
        <v>0.23449999999999999</v>
      </c>
      <c r="CE58" s="11"/>
      <c r="CF58" s="10">
        <v>13.5686</v>
      </c>
      <c r="CG58" s="10">
        <v>2.1654</v>
      </c>
      <c r="CH58" s="10">
        <v>0.27113999999999999</v>
      </c>
      <c r="CI58" s="10">
        <v>1.9712000000000001</v>
      </c>
      <c r="CJ58" s="10">
        <v>2.7847</v>
      </c>
      <c r="CK58" s="10">
        <v>9.3386999999999993</v>
      </c>
      <c r="CL58" s="10">
        <v>45.490699999999997</v>
      </c>
      <c r="CM58" s="10">
        <v>43.862699999999997</v>
      </c>
      <c r="CN58" s="10">
        <v>3.4697</v>
      </c>
      <c r="CO58" s="10">
        <v>2184.4378000000002</v>
      </c>
      <c r="CP58" s="10">
        <v>416.82319999999999</v>
      </c>
      <c r="CQ58" s="10">
        <v>641.91639999999995</v>
      </c>
      <c r="CR58" s="10">
        <v>165.1506</v>
      </c>
      <c r="CS58" s="10">
        <v>36.785299999999999</v>
      </c>
      <c r="CT58" s="10">
        <v>62.2791</v>
      </c>
      <c r="CU58" s="10">
        <v>347.86079999999998</v>
      </c>
      <c r="CV58" s="10">
        <v>7.6791</v>
      </c>
      <c r="CW58" s="10">
        <v>1263.0499</v>
      </c>
      <c r="CX58" s="10">
        <v>25.893899999999999</v>
      </c>
      <c r="CY58" s="10">
        <v>278.7756</v>
      </c>
      <c r="CZ58" s="10">
        <v>13.773199999999999</v>
      </c>
      <c r="DA58" s="10">
        <v>5.8624000000000002E-2</v>
      </c>
      <c r="DB58" s="10">
        <v>7.1265000000000001</v>
      </c>
      <c r="DC58" s="10">
        <v>91.033299999999997</v>
      </c>
      <c r="DD58" s="10">
        <v>10.0946</v>
      </c>
      <c r="DE58" s="10">
        <v>4.3292999999999999</v>
      </c>
      <c r="DF58" s="10">
        <v>7.1825999999999999</v>
      </c>
      <c r="DG58" s="10">
        <v>23.780799999999999</v>
      </c>
      <c r="DH58" s="10">
        <v>2.4291999999999998</v>
      </c>
      <c r="DI58" s="10">
        <v>1.1912</v>
      </c>
      <c r="DJ58" s="10">
        <v>58.3613</v>
      </c>
      <c r="DK58" s="10">
        <v>0.16123999999999999</v>
      </c>
      <c r="DL58" s="10">
        <v>13.0875</v>
      </c>
      <c r="DM58" s="10">
        <v>9.8252000000000006</v>
      </c>
      <c r="DN58" s="10">
        <v>1.5068999999999999</v>
      </c>
      <c r="DO58" s="10">
        <v>3.1021999999999998</v>
      </c>
      <c r="DP58" s="10">
        <v>1.0214000000000001</v>
      </c>
      <c r="DQ58" s="10">
        <v>241.12780000000001</v>
      </c>
      <c r="DR58" s="10">
        <v>1.3153999999999999</v>
      </c>
      <c r="DS58" s="10">
        <v>2.9055</v>
      </c>
      <c r="DT58" s="10">
        <v>2.4424000000000001</v>
      </c>
      <c r="DU58" s="10">
        <v>0.1429</v>
      </c>
      <c r="DV58" s="11"/>
      <c r="DW58" s="10">
        <v>2.4988000000000001</v>
      </c>
      <c r="DX58" s="10">
        <v>4.2062999999999997</v>
      </c>
      <c r="DY58" s="10">
        <v>481.12880000000001</v>
      </c>
      <c r="DZ58" s="10">
        <v>0.13557</v>
      </c>
      <c r="EA58" s="10">
        <v>4.7477999999999998</v>
      </c>
      <c r="EB58" s="10">
        <v>29.585999999999999</v>
      </c>
      <c r="EC58" s="10">
        <v>2.1067999999999998</v>
      </c>
      <c r="ED58" s="10">
        <v>4.7632000000000001E-2</v>
      </c>
      <c r="EE58" s="10">
        <v>59.642600000000002</v>
      </c>
      <c r="EF58" s="10">
        <v>8.2592999999999996</v>
      </c>
      <c r="EG58" s="10">
        <v>16.169499999999999</v>
      </c>
      <c r="EH58" s="10">
        <v>3.7086999999999999</v>
      </c>
      <c r="EI58" s="10">
        <v>5.1296000000000001E-2</v>
      </c>
      <c r="EJ58" s="10">
        <v>7.5923999999999996</v>
      </c>
      <c r="EK58" s="10">
        <v>158.768</v>
      </c>
      <c r="EL58" s="10">
        <v>4.8720999999999997</v>
      </c>
      <c r="EM58" s="10">
        <v>35.457799999999999</v>
      </c>
      <c r="EN58" s="10">
        <v>4.5979999999999999</v>
      </c>
      <c r="EO58" s="10">
        <v>2.0750000000000002</v>
      </c>
      <c r="EP58" s="10">
        <v>127.82259999999999</v>
      </c>
      <c r="EQ58" s="10">
        <v>1.0992E-2</v>
      </c>
      <c r="ER58" s="10">
        <v>30.5443</v>
      </c>
      <c r="ES58" s="10">
        <v>7.4599000000000002</v>
      </c>
      <c r="ET58" s="10">
        <v>44.916600000000003</v>
      </c>
      <c r="EU58" s="10">
        <v>2.8359000000000001</v>
      </c>
      <c r="EV58" s="10">
        <v>60.409799999999997</v>
      </c>
      <c r="EW58" s="10">
        <v>154.29079999999999</v>
      </c>
      <c r="EX58" s="10">
        <v>0.2235</v>
      </c>
      <c r="EY58" s="10">
        <v>10.8558</v>
      </c>
      <c r="EZ58" s="10">
        <v>6.0492999999999997</v>
      </c>
      <c r="FA58" s="10">
        <v>5.4581999999999997</v>
      </c>
      <c r="FB58" s="10">
        <v>49.053400000000003</v>
      </c>
      <c r="FC58" s="10">
        <v>101.18210000000001</v>
      </c>
      <c r="FD58" s="10">
        <v>309.92090000000002</v>
      </c>
      <c r="FE58" s="10">
        <v>47.948399999999999</v>
      </c>
      <c r="FF58" s="10">
        <v>105.9796</v>
      </c>
      <c r="FG58" s="10">
        <v>1.5351999999999999</v>
      </c>
      <c r="FH58" s="11"/>
      <c r="FI58" s="10">
        <v>77.432400000000001</v>
      </c>
      <c r="FJ58" s="10">
        <v>1622.3489</v>
      </c>
      <c r="FK58" s="10">
        <v>0.81274000000000002</v>
      </c>
      <c r="FL58" s="10">
        <v>1.0992E-2</v>
      </c>
      <c r="FM58" s="10">
        <v>0.23083000000000001</v>
      </c>
      <c r="FN58" s="10">
        <v>0.34808</v>
      </c>
      <c r="FO58" s="10">
        <v>7.6943999999999999E-2</v>
      </c>
      <c r="FP58" s="10">
        <v>0.27479999999999999</v>
      </c>
      <c r="FQ58" s="10">
        <v>0.20885000000000001</v>
      </c>
      <c r="FR58" s="10">
        <v>0.11358</v>
      </c>
      <c r="FS58" s="10">
        <v>601.89589999999998</v>
      </c>
      <c r="FT58" s="10">
        <v>8.7959999999999994</v>
      </c>
      <c r="FU58" s="10">
        <v>37.189100000000003</v>
      </c>
      <c r="FV58" s="10">
        <v>0.48731000000000002</v>
      </c>
      <c r="FW58" s="10">
        <v>1.1395</v>
      </c>
      <c r="FX58" s="10">
        <v>55.209200000000003</v>
      </c>
      <c r="FY58" s="10">
        <v>33.654499999999999</v>
      </c>
      <c r="FZ58" s="10">
        <v>13.5319</v>
      </c>
      <c r="GA58" s="10">
        <v>0.32976</v>
      </c>
      <c r="GB58" s="10">
        <v>0.63021000000000005</v>
      </c>
      <c r="GC58" s="10">
        <v>481.88470000000001</v>
      </c>
      <c r="GD58" s="10">
        <v>586.54790000000003</v>
      </c>
      <c r="GE58" s="10">
        <v>255.1002</v>
      </c>
      <c r="GF58" s="10">
        <v>17.689900000000002</v>
      </c>
      <c r="GG58" s="10">
        <v>16.6448</v>
      </c>
      <c r="GH58" s="10">
        <v>2.8361000000000001</v>
      </c>
      <c r="GI58" s="10">
        <v>0.90134000000000003</v>
      </c>
      <c r="GJ58" s="10">
        <v>43.337600000000002</v>
      </c>
      <c r="GK58" s="10">
        <v>39.234400000000001</v>
      </c>
      <c r="GL58" s="10">
        <v>30.111999999999998</v>
      </c>
      <c r="GM58" s="10">
        <v>261.24349999999998</v>
      </c>
      <c r="GN58" s="10">
        <v>4.4855</v>
      </c>
      <c r="GO58" s="10">
        <v>9.9002999999999997</v>
      </c>
      <c r="GP58" s="10">
        <v>279.99430000000001</v>
      </c>
      <c r="GQ58" s="10">
        <v>0.51295999999999997</v>
      </c>
      <c r="GR58" s="10">
        <v>2.2381000000000002</v>
      </c>
      <c r="GS58" s="10">
        <v>0.11358</v>
      </c>
      <c r="GT58" s="10">
        <v>46.344799999999999</v>
      </c>
      <c r="GU58" s="10">
        <v>27.892099999999999</v>
      </c>
      <c r="GV58" s="10">
        <v>361.6755</v>
      </c>
      <c r="GW58" s="10">
        <v>68.0321</v>
      </c>
      <c r="GX58" s="10">
        <v>0.19786000000000001</v>
      </c>
      <c r="GY58" s="10">
        <v>1.0992E-2</v>
      </c>
      <c r="GZ58" s="10">
        <v>4.0970000000000004</v>
      </c>
      <c r="HA58" s="10">
        <v>257.5847</v>
      </c>
      <c r="HB58" s="10">
        <v>215.90620000000001</v>
      </c>
      <c r="HC58" s="10">
        <v>439.0575</v>
      </c>
      <c r="HD58" s="10">
        <v>5561.7191999999995</v>
      </c>
      <c r="HE58" s="10">
        <v>6.6562999999999999</v>
      </c>
      <c r="HF58" s="10">
        <v>103.4952</v>
      </c>
      <c r="HG58" s="10">
        <v>0.15389</v>
      </c>
      <c r="HH58" s="10">
        <v>184.13640000000001</v>
      </c>
      <c r="HI58" s="10">
        <v>159.58279999999999</v>
      </c>
      <c r="HJ58" s="10">
        <v>2.1984E-2</v>
      </c>
      <c r="HK58" s="11"/>
      <c r="HL58" s="10">
        <v>24.185199999999998</v>
      </c>
      <c r="HM58" s="10">
        <v>4.2557</v>
      </c>
      <c r="HN58" s="10">
        <v>11.9726</v>
      </c>
      <c r="HO58" s="10">
        <f t="shared" si="3"/>
        <v>34116.84103800002</v>
      </c>
      <c r="HP58" s="10">
        <f t="shared" si="4"/>
        <v>34.116841038000018</v>
      </c>
      <c r="HQ58" s="10">
        <f t="shared" si="5"/>
        <v>9.3037472151622627</v>
      </c>
      <c r="HR58" s="11"/>
      <c r="HS58" s="12">
        <v>9.9703599999999994</v>
      </c>
      <c r="HT58" s="12">
        <f t="shared" si="6"/>
        <v>6.6859449893257317E-2</v>
      </c>
      <c r="HU58" s="12"/>
      <c r="HV58" s="13"/>
      <c r="HW58" s="13"/>
    </row>
    <row r="59" spans="1:231" ht="19.95" customHeight="1">
      <c r="A59" s="8">
        <v>2015</v>
      </c>
      <c r="B59" s="9">
        <v>7.9040999999999997</v>
      </c>
      <c r="C59" s="10">
        <v>4.5324</v>
      </c>
      <c r="D59" s="10">
        <v>150.8176</v>
      </c>
      <c r="E59" s="10">
        <v>0.46533000000000002</v>
      </c>
      <c r="F59" s="10">
        <v>33.978999999999999</v>
      </c>
      <c r="G59" s="10">
        <v>0.15389</v>
      </c>
      <c r="H59" s="10">
        <v>0.47998000000000002</v>
      </c>
      <c r="I59" s="10">
        <v>192.3657</v>
      </c>
      <c r="J59" s="10">
        <v>5.0724</v>
      </c>
      <c r="K59" s="10">
        <v>0.89768000000000003</v>
      </c>
      <c r="L59" s="10">
        <v>401.5548</v>
      </c>
      <c r="M59" s="10">
        <v>66.283199999999994</v>
      </c>
      <c r="N59" s="10">
        <v>37.198599999999999</v>
      </c>
      <c r="O59" s="10">
        <v>2.0407999999999999</v>
      </c>
      <c r="P59" s="10">
        <v>32.6721</v>
      </c>
      <c r="Q59" s="10">
        <v>72.834599999999995</v>
      </c>
      <c r="R59" s="10">
        <v>1.2625</v>
      </c>
      <c r="S59" s="10">
        <v>58.633099999999999</v>
      </c>
      <c r="T59" s="10">
        <v>100.9813</v>
      </c>
      <c r="U59" s="10">
        <v>0.64119999999999999</v>
      </c>
      <c r="V59" s="10">
        <v>6.0763999999999996</v>
      </c>
      <c r="W59" s="10">
        <v>0.53861000000000003</v>
      </c>
      <c r="X59" s="10">
        <v>0.96621000000000001</v>
      </c>
      <c r="Y59" s="10">
        <v>19.420999999999999</v>
      </c>
      <c r="Z59" s="10">
        <v>0.3261</v>
      </c>
      <c r="AA59" s="10">
        <v>18.460699999999999</v>
      </c>
      <c r="AB59" s="10">
        <v>5.4248000000000003</v>
      </c>
      <c r="AC59" s="10">
        <v>495.21370000000002</v>
      </c>
      <c r="AD59" s="10">
        <v>0.21251</v>
      </c>
      <c r="AE59" s="10">
        <v>6.9542999999999999</v>
      </c>
      <c r="AF59" s="10">
        <v>48.194299999999998</v>
      </c>
      <c r="AG59" s="10">
        <v>3.2976000000000001</v>
      </c>
      <c r="AH59" s="10">
        <v>0.39163999999999999</v>
      </c>
      <c r="AI59" s="10">
        <v>8.4463000000000008</v>
      </c>
      <c r="AJ59" s="10">
        <v>7.7439</v>
      </c>
      <c r="AK59" s="10">
        <v>575.90689999999995</v>
      </c>
      <c r="AL59" s="10">
        <v>0.49098000000000003</v>
      </c>
      <c r="AM59" s="11"/>
      <c r="AN59" s="10">
        <v>0.29311999999999999</v>
      </c>
      <c r="AO59" s="10">
        <v>0.69613999999999998</v>
      </c>
      <c r="AP59" s="10">
        <v>81.633200000000002</v>
      </c>
      <c r="AQ59" s="10">
        <v>9683.2006999999994</v>
      </c>
      <c r="AR59" s="10">
        <v>86.071100000000001</v>
      </c>
      <c r="AS59" s="10">
        <v>0.16854</v>
      </c>
      <c r="AT59" s="10">
        <v>3.4510000000000001</v>
      </c>
      <c r="AU59" s="10">
        <v>6.2288000000000003E-2</v>
      </c>
      <c r="AV59" s="10">
        <v>7.4070999999999998</v>
      </c>
      <c r="AW59" s="10">
        <v>9.4055</v>
      </c>
      <c r="AX59" s="10">
        <v>17.840800000000002</v>
      </c>
      <c r="AY59" s="10">
        <v>29.052800000000001</v>
      </c>
      <c r="AZ59" s="10">
        <v>6.2507999999999999</v>
      </c>
      <c r="BA59" s="10">
        <v>6.9600999999999997</v>
      </c>
      <c r="BB59" s="10">
        <v>104.8154</v>
      </c>
      <c r="BC59" s="10">
        <v>2.7919</v>
      </c>
      <c r="BD59" s="10">
        <v>35.1815</v>
      </c>
      <c r="BE59" s="10">
        <v>0.44577</v>
      </c>
      <c r="BF59" s="10">
        <v>0.17587</v>
      </c>
      <c r="BG59" s="10">
        <v>23.4879</v>
      </c>
      <c r="BH59" s="10">
        <v>40.639800000000001</v>
      </c>
      <c r="BI59" s="10">
        <v>219.304</v>
      </c>
      <c r="BJ59" s="10">
        <v>6.7153999999999998</v>
      </c>
      <c r="BK59" s="10">
        <v>6.4340000000000002</v>
      </c>
      <c r="BL59" s="10">
        <v>0.65217000000000003</v>
      </c>
      <c r="BM59" s="10">
        <v>15.8134</v>
      </c>
      <c r="BN59" s="10">
        <v>12.6934</v>
      </c>
      <c r="BO59" s="10">
        <v>0.60821999999999998</v>
      </c>
      <c r="BP59" s="11"/>
      <c r="BQ59" s="10">
        <v>2.1303999999999998</v>
      </c>
      <c r="BR59" s="10">
        <v>44.113700000000001</v>
      </c>
      <c r="BS59" s="10">
        <v>338.50069999999999</v>
      </c>
      <c r="BT59" s="11"/>
      <c r="BU59" s="10">
        <v>0.76944000000000001</v>
      </c>
      <c r="BV59" s="10">
        <v>5.2488999999999999</v>
      </c>
      <c r="BW59" s="10">
        <v>0.52395000000000003</v>
      </c>
      <c r="BX59" s="10">
        <v>9.5886999999999993</v>
      </c>
      <c r="BY59" s="10">
        <v>795.81640000000004</v>
      </c>
      <c r="BZ59" s="10">
        <v>16.114699999999999</v>
      </c>
      <c r="CA59" s="11"/>
      <c r="CB59" s="10">
        <v>74.957899999999995</v>
      </c>
      <c r="CC59" s="10">
        <v>0.49830000000000002</v>
      </c>
      <c r="CD59" s="10">
        <v>0.26013999999999998</v>
      </c>
      <c r="CE59" s="11"/>
      <c r="CF59" s="10">
        <v>15.426299999999999</v>
      </c>
      <c r="CG59" s="10">
        <v>2.4512</v>
      </c>
      <c r="CH59" s="10">
        <v>0.27845999999999999</v>
      </c>
      <c r="CI59" s="10">
        <v>2.0045000000000002</v>
      </c>
      <c r="CJ59" s="10">
        <v>3.1913999999999998</v>
      </c>
      <c r="CK59" s="10">
        <v>10.082000000000001</v>
      </c>
      <c r="CL59" s="10">
        <v>42.390900000000002</v>
      </c>
      <c r="CM59" s="10">
        <v>46.627600000000001</v>
      </c>
      <c r="CN59" s="10">
        <v>3.5453000000000001</v>
      </c>
      <c r="CO59" s="10">
        <v>2253.4288000000001</v>
      </c>
      <c r="CP59" s="10">
        <v>507.012</v>
      </c>
      <c r="CQ59" s="10">
        <v>640.81119999999999</v>
      </c>
      <c r="CR59" s="10">
        <v>165.6464</v>
      </c>
      <c r="CS59" s="10">
        <v>38.545299999999997</v>
      </c>
      <c r="CT59" s="10">
        <v>64.949799999999996</v>
      </c>
      <c r="CU59" s="10">
        <v>360.08819999999997</v>
      </c>
      <c r="CV59" s="10">
        <v>7.9366000000000003</v>
      </c>
      <c r="CW59" s="10">
        <v>1222.7813000000001</v>
      </c>
      <c r="CX59" s="10">
        <v>25.27</v>
      </c>
      <c r="CY59" s="10">
        <v>288.57810000000001</v>
      </c>
      <c r="CZ59" s="10">
        <v>16.300599999999999</v>
      </c>
      <c r="DA59" s="10">
        <v>6.2288000000000003E-2</v>
      </c>
      <c r="DB59" s="10">
        <v>8.3392999999999997</v>
      </c>
      <c r="DC59" s="10">
        <v>96.264899999999997</v>
      </c>
      <c r="DD59" s="10">
        <v>10.2775</v>
      </c>
      <c r="DE59" s="10">
        <v>8.8057999999999996</v>
      </c>
      <c r="DF59" s="10">
        <v>7.2727000000000004</v>
      </c>
      <c r="DG59" s="10">
        <v>25.7698</v>
      </c>
      <c r="DH59" s="10">
        <v>2.3266</v>
      </c>
      <c r="DI59" s="10">
        <v>1.2050000000000001</v>
      </c>
      <c r="DJ59" s="10">
        <v>50.8444</v>
      </c>
      <c r="DK59" s="10">
        <v>0.15970999999999999</v>
      </c>
      <c r="DL59" s="10">
        <v>13.2971</v>
      </c>
      <c r="DM59" s="10">
        <v>9.3331999999999997</v>
      </c>
      <c r="DN59" s="10">
        <v>2.0291000000000001</v>
      </c>
      <c r="DO59" s="10">
        <v>3.5198999999999998</v>
      </c>
      <c r="DP59" s="10">
        <v>1.1194999999999999</v>
      </c>
      <c r="DQ59" s="10">
        <v>233.26820000000001</v>
      </c>
      <c r="DR59" s="10">
        <v>1.3007</v>
      </c>
      <c r="DS59" s="10">
        <v>3.0956000000000001</v>
      </c>
      <c r="DT59" s="10">
        <v>1.7353000000000001</v>
      </c>
      <c r="DU59" s="10">
        <v>0.1429</v>
      </c>
      <c r="DV59" s="11"/>
      <c r="DW59" s="10">
        <v>2.8872</v>
      </c>
      <c r="DX59" s="10">
        <v>4.2099000000000002</v>
      </c>
      <c r="DY59" s="10">
        <v>481.97460000000001</v>
      </c>
      <c r="DZ59" s="10">
        <v>0.1429</v>
      </c>
      <c r="EA59" s="10">
        <v>4.7850999999999999</v>
      </c>
      <c r="EB59" s="10">
        <v>23.243600000000001</v>
      </c>
      <c r="EC59" s="10">
        <v>2.2387000000000001</v>
      </c>
      <c r="ED59" s="10">
        <v>5.8624000000000002E-2</v>
      </c>
      <c r="EE59" s="10">
        <v>61.027900000000002</v>
      </c>
      <c r="EF59" s="10">
        <v>6.3056000000000001</v>
      </c>
      <c r="EG59" s="10">
        <v>22.0764</v>
      </c>
      <c r="EH59" s="10">
        <v>3.8856999999999999</v>
      </c>
      <c r="EI59" s="10">
        <v>5.4960000000000002E-2</v>
      </c>
      <c r="EJ59" s="10">
        <v>6.0141</v>
      </c>
      <c r="EK59" s="10">
        <v>166.36670000000001</v>
      </c>
      <c r="EL59" s="10">
        <v>4.7356999999999996</v>
      </c>
      <c r="EM59" s="10">
        <v>35.839199999999998</v>
      </c>
      <c r="EN59" s="10">
        <v>5.2502000000000004</v>
      </c>
      <c r="EO59" s="10">
        <v>2.0350999999999999</v>
      </c>
      <c r="EP59" s="10">
        <v>113.5395</v>
      </c>
      <c r="EQ59" s="10">
        <v>7.3280000000000003E-3</v>
      </c>
      <c r="ER59" s="10">
        <v>24.620699999999999</v>
      </c>
      <c r="ES59" s="10">
        <v>7.0239000000000003</v>
      </c>
      <c r="ET59" s="10">
        <v>45.350499999999997</v>
      </c>
      <c r="EU59" s="10">
        <v>3.0045000000000002</v>
      </c>
      <c r="EV59" s="10">
        <v>61.603999999999999</v>
      </c>
      <c r="EW59" s="10">
        <v>170.17529999999999</v>
      </c>
      <c r="EX59" s="10">
        <v>0.2235</v>
      </c>
      <c r="EY59" s="10">
        <v>10.877000000000001</v>
      </c>
      <c r="EZ59" s="10">
        <v>6.3643000000000001</v>
      </c>
      <c r="FA59" s="10">
        <v>6.0510000000000002</v>
      </c>
      <c r="FB59" s="10">
        <v>48.696199999999997</v>
      </c>
      <c r="FC59" s="10">
        <v>112.1425</v>
      </c>
      <c r="FD59" s="10">
        <v>313.09910000000002</v>
      </c>
      <c r="FE59" s="10">
        <v>52.2941</v>
      </c>
      <c r="FF59" s="10">
        <v>105.7561</v>
      </c>
      <c r="FG59" s="10">
        <v>1.9419</v>
      </c>
      <c r="FH59" s="11"/>
      <c r="FI59" s="10">
        <v>77.7256</v>
      </c>
      <c r="FJ59" s="10">
        <v>1622.8610000000001</v>
      </c>
      <c r="FK59" s="10">
        <v>0.92647999999999997</v>
      </c>
      <c r="FL59" s="10">
        <v>1.0992E-2</v>
      </c>
      <c r="FM59" s="10">
        <v>0.23449999999999999</v>
      </c>
      <c r="FN59" s="10">
        <v>0.35907</v>
      </c>
      <c r="FO59" s="10">
        <v>7.6943999999999999E-2</v>
      </c>
      <c r="FP59" s="10">
        <v>0.21251</v>
      </c>
      <c r="FQ59" s="10">
        <v>0.23449999999999999</v>
      </c>
      <c r="FR59" s="10">
        <v>0.11358</v>
      </c>
      <c r="FS59" s="10">
        <v>645.40859999999998</v>
      </c>
      <c r="FT59" s="10">
        <v>9.8462999999999994</v>
      </c>
      <c r="FU59" s="10">
        <v>43.747100000000003</v>
      </c>
      <c r="FV59" s="10">
        <v>0.47998000000000002</v>
      </c>
      <c r="FW59" s="10">
        <v>0.90500999999999998</v>
      </c>
      <c r="FX59" s="10">
        <v>62.130400000000002</v>
      </c>
      <c r="FY59" s="10">
        <v>34.484200000000001</v>
      </c>
      <c r="FZ59" s="10">
        <v>13.6175</v>
      </c>
      <c r="GA59" s="10">
        <v>0.29311999999999999</v>
      </c>
      <c r="GB59" s="10">
        <v>0.63021000000000005</v>
      </c>
      <c r="GC59" s="10">
        <v>451.59010000000001</v>
      </c>
      <c r="GD59" s="10">
        <v>595.39390000000003</v>
      </c>
      <c r="GE59" s="10">
        <v>271.68729999999999</v>
      </c>
      <c r="GF59" s="10">
        <v>19.830100000000002</v>
      </c>
      <c r="GG59" s="10">
        <v>20.162600000000001</v>
      </c>
      <c r="GH59" s="10">
        <v>2.7328000000000001</v>
      </c>
      <c r="GI59" s="10">
        <v>0.97828999999999999</v>
      </c>
      <c r="GJ59" s="10">
        <v>43.336799999999997</v>
      </c>
      <c r="GK59" s="10">
        <v>38.733199999999997</v>
      </c>
      <c r="GL59" s="10">
        <v>28.6755</v>
      </c>
      <c r="GM59" s="10">
        <v>257.15640000000002</v>
      </c>
      <c r="GN59" s="10">
        <v>5.1627999999999998</v>
      </c>
      <c r="GO59" s="10">
        <v>10.637499999999999</v>
      </c>
      <c r="GP59" s="10">
        <v>283.29309999999998</v>
      </c>
      <c r="GQ59" s="10">
        <v>0.50197000000000003</v>
      </c>
      <c r="GR59" s="10">
        <v>2.6863999999999999</v>
      </c>
      <c r="GS59" s="10">
        <v>0.12091</v>
      </c>
      <c r="GT59" s="10">
        <v>45.121000000000002</v>
      </c>
      <c r="GU59" s="10">
        <v>29.2746</v>
      </c>
      <c r="GV59" s="10">
        <v>381.33190000000002</v>
      </c>
      <c r="GW59" s="10">
        <v>70.230999999999995</v>
      </c>
      <c r="GX59" s="10">
        <v>0.20518</v>
      </c>
      <c r="GY59" s="10">
        <v>1.0992E-2</v>
      </c>
      <c r="GZ59" s="10">
        <v>4.5218999999999996</v>
      </c>
      <c r="HA59" s="10">
        <v>223.9119</v>
      </c>
      <c r="HB59" s="10">
        <v>239.67070000000001</v>
      </c>
      <c r="HC59" s="10">
        <v>422.49059999999997</v>
      </c>
      <c r="HD59" s="10">
        <v>5412.4322000000002</v>
      </c>
      <c r="HE59" s="10">
        <v>6.6551999999999998</v>
      </c>
      <c r="HF59" s="10">
        <v>101.79130000000001</v>
      </c>
      <c r="HG59" s="10">
        <v>0.13189999999999999</v>
      </c>
      <c r="HH59" s="10">
        <v>170.89940000000001</v>
      </c>
      <c r="HI59" s="10">
        <v>184.43559999999999</v>
      </c>
      <c r="HJ59" s="10">
        <v>2.1984E-2</v>
      </c>
      <c r="HK59" s="11"/>
      <c r="HL59" s="10">
        <v>13.0063</v>
      </c>
      <c r="HM59" s="10">
        <v>4.2956000000000003</v>
      </c>
      <c r="HN59" s="10">
        <v>12.170500000000001</v>
      </c>
      <c r="HO59" s="10">
        <f t="shared" si="3"/>
        <v>34042.61746999999</v>
      </c>
      <c r="HP59" s="10">
        <f t="shared" si="4"/>
        <v>34.042617469999989</v>
      </c>
      <c r="HQ59" s="10">
        <f t="shared" si="5"/>
        <v>9.2835062639759993</v>
      </c>
      <c r="HR59" s="11"/>
      <c r="HS59" s="12">
        <v>10.23155</v>
      </c>
      <c r="HT59" s="12">
        <f t="shared" si="6"/>
        <v>9.2658857751171775E-2</v>
      </c>
      <c r="HU59" s="12"/>
      <c r="HV59" s="13"/>
      <c r="HW59" s="13"/>
    </row>
    <row r="60" spans="1:231" ht="19.95" customHeight="1">
      <c r="A60" s="8">
        <v>2016</v>
      </c>
      <c r="B60" s="9">
        <v>6.7446000000000002</v>
      </c>
      <c r="C60" s="10">
        <v>4.4957000000000003</v>
      </c>
      <c r="D60" s="10">
        <v>148.839</v>
      </c>
      <c r="E60" s="10">
        <v>0.46899000000000002</v>
      </c>
      <c r="F60" s="10">
        <v>34.110900000000001</v>
      </c>
      <c r="G60" s="10">
        <v>0.15389</v>
      </c>
      <c r="H60" s="10">
        <v>0.49098000000000003</v>
      </c>
      <c r="I60" s="10">
        <v>190.92959999999999</v>
      </c>
      <c r="J60" s="10">
        <v>5.1588000000000003</v>
      </c>
      <c r="K60" s="10">
        <v>0.88302000000000003</v>
      </c>
      <c r="L60" s="10">
        <v>411.03149999999999</v>
      </c>
      <c r="M60" s="10">
        <v>67.112300000000005</v>
      </c>
      <c r="N60" s="10">
        <v>37.278399999999998</v>
      </c>
      <c r="O60" s="10">
        <v>1.7954000000000001</v>
      </c>
      <c r="P60" s="10">
        <v>31.397500000000001</v>
      </c>
      <c r="Q60" s="10">
        <v>75.857399999999998</v>
      </c>
      <c r="R60" s="10">
        <v>1.2847</v>
      </c>
      <c r="S60" s="10">
        <v>60.2849</v>
      </c>
      <c r="T60" s="10">
        <v>99.806899999999999</v>
      </c>
      <c r="U60" s="10">
        <v>0.60821999999999998</v>
      </c>
      <c r="V60" s="10">
        <v>6.74</v>
      </c>
      <c r="W60" s="10">
        <v>0.61921999999999999</v>
      </c>
      <c r="X60" s="10">
        <v>1.1531</v>
      </c>
      <c r="Y60" s="10">
        <v>20.693300000000001</v>
      </c>
      <c r="Z60" s="10">
        <v>0.32976</v>
      </c>
      <c r="AA60" s="10">
        <v>21.732900000000001</v>
      </c>
      <c r="AB60" s="10">
        <v>6.3334000000000001</v>
      </c>
      <c r="AC60" s="10">
        <v>478.44279999999998</v>
      </c>
      <c r="AD60" s="10">
        <v>0.21251</v>
      </c>
      <c r="AE60" s="10">
        <v>7.5441000000000003</v>
      </c>
      <c r="AF60" s="10">
        <v>45.353700000000003</v>
      </c>
      <c r="AG60" s="10">
        <v>3.3814000000000002</v>
      </c>
      <c r="AH60" s="10">
        <v>0.44292999999999999</v>
      </c>
      <c r="AI60" s="10">
        <v>9.7240000000000002</v>
      </c>
      <c r="AJ60" s="10">
        <v>8.2596000000000007</v>
      </c>
      <c r="AK60" s="10">
        <v>564.03250000000003</v>
      </c>
      <c r="AL60" s="10">
        <v>0.53861000000000003</v>
      </c>
      <c r="AM60" s="11"/>
      <c r="AN60" s="10">
        <v>0.29677999999999999</v>
      </c>
      <c r="AO60" s="10">
        <v>0.99292000000000002</v>
      </c>
      <c r="AP60" s="10">
        <v>84.153700000000001</v>
      </c>
      <c r="AQ60" s="10">
        <v>9552.5164999999997</v>
      </c>
      <c r="AR60" s="10">
        <v>100.8005</v>
      </c>
      <c r="AS60" s="10">
        <v>0.20152</v>
      </c>
      <c r="AT60" s="10">
        <v>3.7018</v>
      </c>
      <c r="AU60" s="10">
        <v>6.2288000000000003E-2</v>
      </c>
      <c r="AV60" s="10">
        <v>7.9237000000000002</v>
      </c>
      <c r="AW60" s="10">
        <v>11.7981</v>
      </c>
      <c r="AX60" s="10">
        <v>18.105</v>
      </c>
      <c r="AY60" s="10">
        <v>27.9999</v>
      </c>
      <c r="AZ60" s="10">
        <v>5.3897000000000004</v>
      </c>
      <c r="BA60" s="10">
        <v>7.3681999999999999</v>
      </c>
      <c r="BB60" s="10">
        <v>106.629</v>
      </c>
      <c r="BC60" s="10">
        <v>1.996</v>
      </c>
      <c r="BD60" s="10">
        <v>36.988700000000001</v>
      </c>
      <c r="BE60" s="10">
        <v>0.39813999999999999</v>
      </c>
      <c r="BF60" s="10">
        <v>0.17954000000000001</v>
      </c>
      <c r="BG60" s="10">
        <v>24.629100000000001</v>
      </c>
      <c r="BH60" s="10">
        <v>39.505099999999999</v>
      </c>
      <c r="BI60" s="10">
        <v>233.51560000000001</v>
      </c>
      <c r="BJ60" s="10">
        <v>6.6383999999999999</v>
      </c>
      <c r="BK60" s="10">
        <v>6.2068000000000003</v>
      </c>
      <c r="BL60" s="10">
        <v>0.65949999999999998</v>
      </c>
      <c r="BM60" s="10">
        <v>17.377700000000001</v>
      </c>
      <c r="BN60" s="10">
        <v>14.4321</v>
      </c>
      <c r="BO60" s="10">
        <v>0.63021000000000005</v>
      </c>
      <c r="BP60" s="11"/>
      <c r="BQ60" s="10">
        <v>2.0188000000000001</v>
      </c>
      <c r="BR60" s="10">
        <v>47.227499999999999</v>
      </c>
      <c r="BS60" s="10">
        <v>341.02569999999997</v>
      </c>
      <c r="BT60" s="11"/>
      <c r="BU60" s="10">
        <v>0.74378999999999995</v>
      </c>
      <c r="BV60" s="10">
        <v>5.2984999999999998</v>
      </c>
      <c r="BW60" s="10">
        <v>0.53127999999999997</v>
      </c>
      <c r="BX60" s="10">
        <v>9.9052000000000007</v>
      </c>
      <c r="BY60" s="10">
        <v>800.51030000000003</v>
      </c>
      <c r="BZ60" s="10">
        <v>16.547000000000001</v>
      </c>
      <c r="CA60" s="11"/>
      <c r="CB60" s="10">
        <v>71.368399999999994</v>
      </c>
      <c r="CC60" s="10">
        <v>0.49830000000000002</v>
      </c>
      <c r="CD60" s="10">
        <v>0.26746999999999999</v>
      </c>
      <c r="CE60" s="11"/>
      <c r="CF60" s="10">
        <v>16.375900000000001</v>
      </c>
      <c r="CG60" s="10">
        <v>2.7443</v>
      </c>
      <c r="CH60" s="10">
        <v>0.29311999999999999</v>
      </c>
      <c r="CI60" s="10">
        <v>2.3439999999999999</v>
      </c>
      <c r="CJ60" s="10">
        <v>3.2353000000000001</v>
      </c>
      <c r="CK60" s="10">
        <v>9.5543999999999993</v>
      </c>
      <c r="CL60" s="10">
        <v>43.387500000000003</v>
      </c>
      <c r="CM60" s="10">
        <v>47.395699999999998</v>
      </c>
      <c r="CN60" s="10">
        <v>3.4975000000000001</v>
      </c>
      <c r="CO60" s="10">
        <v>2392.3597</v>
      </c>
      <c r="CP60" s="10">
        <v>568.19389999999999</v>
      </c>
      <c r="CQ60" s="10">
        <v>648.0607</v>
      </c>
      <c r="CR60" s="10">
        <v>194.3612</v>
      </c>
      <c r="CS60" s="10">
        <v>40.029800000000002</v>
      </c>
      <c r="CT60" s="10">
        <v>63.907200000000003</v>
      </c>
      <c r="CU60" s="10">
        <v>356.55619999999999</v>
      </c>
      <c r="CV60" s="10">
        <v>8.1414000000000009</v>
      </c>
      <c r="CW60" s="10">
        <v>1203.1669999999999</v>
      </c>
      <c r="CX60" s="10">
        <v>23.994299999999999</v>
      </c>
      <c r="CY60" s="10">
        <v>288.42140000000001</v>
      </c>
      <c r="CZ60" s="10">
        <v>17.151800000000001</v>
      </c>
      <c r="DA60" s="10">
        <v>6.5951999999999997E-2</v>
      </c>
      <c r="DB60" s="10">
        <v>8.8596000000000004</v>
      </c>
      <c r="DC60" s="10">
        <v>101.57429999999999</v>
      </c>
      <c r="DD60" s="10">
        <v>9.6402999999999999</v>
      </c>
      <c r="DE60" s="10">
        <v>14.2614</v>
      </c>
      <c r="DF60" s="10">
        <v>7.2207999999999997</v>
      </c>
      <c r="DG60" s="10">
        <v>26.502400000000002</v>
      </c>
      <c r="DH60" s="10">
        <v>2.3595999999999999</v>
      </c>
      <c r="DI60" s="10">
        <v>1.3581000000000001</v>
      </c>
      <c r="DJ60" s="10">
        <v>42.839199999999998</v>
      </c>
      <c r="DK60" s="10">
        <v>0.14988000000000001</v>
      </c>
      <c r="DL60" s="10">
        <v>13.327500000000001</v>
      </c>
      <c r="DM60" s="10">
        <v>9.0802999999999994</v>
      </c>
      <c r="DN60" s="10">
        <v>1.9998</v>
      </c>
      <c r="DO60" s="10">
        <v>3.3586</v>
      </c>
      <c r="DP60" s="10">
        <v>1.2629999999999999</v>
      </c>
      <c r="DQ60" s="10">
        <v>246.72239999999999</v>
      </c>
      <c r="DR60" s="10">
        <v>1.4436</v>
      </c>
      <c r="DS60" s="10">
        <v>3.1065999999999998</v>
      </c>
      <c r="DT60" s="10">
        <v>1.3995</v>
      </c>
      <c r="DU60" s="10">
        <v>0.1429</v>
      </c>
      <c r="DV60" s="11"/>
      <c r="DW60" s="10">
        <v>2.7627000000000002</v>
      </c>
      <c r="DX60" s="10">
        <v>4.3455000000000004</v>
      </c>
      <c r="DY60" s="10">
        <v>484.62889999999999</v>
      </c>
      <c r="DZ60" s="10">
        <v>0.1429</v>
      </c>
      <c r="EA60" s="10">
        <v>4.8963000000000001</v>
      </c>
      <c r="EB60" s="10">
        <v>25.323899999999998</v>
      </c>
      <c r="EC60" s="10">
        <v>2.0152000000000001</v>
      </c>
      <c r="ED60" s="10">
        <v>2.9312000000000001E-2</v>
      </c>
      <c r="EE60" s="10">
        <v>61.031500000000001</v>
      </c>
      <c r="EF60" s="10">
        <v>7.726</v>
      </c>
      <c r="EG60" s="10">
        <v>25.468800000000002</v>
      </c>
      <c r="EH60" s="10">
        <v>4.1235999999999997</v>
      </c>
      <c r="EI60" s="10">
        <v>4.3968E-2</v>
      </c>
      <c r="EJ60" s="10">
        <v>8.8411000000000008</v>
      </c>
      <c r="EK60" s="10">
        <v>166.28210000000001</v>
      </c>
      <c r="EL60" s="10">
        <v>5.3117999999999999</v>
      </c>
      <c r="EM60" s="10">
        <v>34.267600000000002</v>
      </c>
      <c r="EN60" s="10">
        <v>5.4480000000000004</v>
      </c>
      <c r="EO60" s="10">
        <v>2.0644999999999998</v>
      </c>
      <c r="EP60" s="10">
        <v>116.7736</v>
      </c>
      <c r="EQ60" s="10">
        <v>7.3280000000000003E-3</v>
      </c>
      <c r="ER60" s="10">
        <v>27.4666</v>
      </c>
      <c r="ES60" s="10">
        <v>6.9871999999999996</v>
      </c>
      <c r="ET60" s="10">
        <v>44.472700000000003</v>
      </c>
      <c r="EU60" s="10">
        <v>3.2315999999999998</v>
      </c>
      <c r="EV60" s="10">
        <v>60.033099999999997</v>
      </c>
      <c r="EW60" s="10">
        <v>203.14580000000001</v>
      </c>
      <c r="EX60" s="10">
        <v>0.2235</v>
      </c>
      <c r="EY60" s="10">
        <v>10.462999999999999</v>
      </c>
      <c r="EZ60" s="10">
        <v>6.6794000000000002</v>
      </c>
      <c r="FA60" s="10">
        <v>7.1538000000000004</v>
      </c>
      <c r="FB60" s="10">
        <v>52.360100000000003</v>
      </c>
      <c r="FC60" s="10">
        <v>122.2368</v>
      </c>
      <c r="FD60" s="10">
        <v>324.01130000000001</v>
      </c>
      <c r="FE60" s="10">
        <v>50.455599999999997</v>
      </c>
      <c r="FF60" s="10">
        <v>102.1726</v>
      </c>
      <c r="FG60" s="10">
        <v>1.7257</v>
      </c>
      <c r="FH60" s="11"/>
      <c r="FI60" s="10">
        <v>75.812799999999996</v>
      </c>
      <c r="FJ60" s="10">
        <v>1618.3043</v>
      </c>
      <c r="FK60" s="10">
        <v>1.0468999999999999</v>
      </c>
      <c r="FL60" s="10">
        <v>1.0992E-2</v>
      </c>
      <c r="FM60" s="10">
        <v>0.23816000000000001</v>
      </c>
      <c r="FN60" s="10">
        <v>0.33341999999999999</v>
      </c>
      <c r="FO60" s="10">
        <v>7.6943999999999999E-2</v>
      </c>
      <c r="FP60" s="10">
        <v>0.25281999999999999</v>
      </c>
      <c r="FQ60" s="10">
        <v>0.24549000000000001</v>
      </c>
      <c r="FR60" s="10">
        <v>0.12091</v>
      </c>
      <c r="FS60" s="10">
        <v>565.75070000000005</v>
      </c>
      <c r="FT60" s="10">
        <v>9.859</v>
      </c>
      <c r="FU60" s="10">
        <v>45.035699999999999</v>
      </c>
      <c r="FV60" s="10">
        <v>0.59357000000000004</v>
      </c>
      <c r="FW60" s="10">
        <v>0.93066000000000004</v>
      </c>
      <c r="FX60" s="10">
        <v>40.274700000000003</v>
      </c>
      <c r="FY60" s="10">
        <v>34.921799999999998</v>
      </c>
      <c r="FZ60" s="10">
        <v>14.416700000000001</v>
      </c>
      <c r="GA60" s="10">
        <v>0.28946</v>
      </c>
      <c r="GB60" s="10">
        <v>0.63754</v>
      </c>
      <c r="GC60" s="10">
        <v>460.04300000000001</v>
      </c>
      <c r="GD60" s="10">
        <v>617.96010000000001</v>
      </c>
      <c r="GE60" s="10">
        <v>260.75959999999998</v>
      </c>
      <c r="GF60" s="10">
        <v>23.028400000000001</v>
      </c>
      <c r="GG60" s="10">
        <v>19.311299999999999</v>
      </c>
      <c r="GH60" s="10">
        <v>2.3260999999999998</v>
      </c>
      <c r="GI60" s="10">
        <v>1.1798</v>
      </c>
      <c r="GJ60" s="10">
        <v>42.9726</v>
      </c>
      <c r="GK60" s="10">
        <v>39.192599999999999</v>
      </c>
      <c r="GL60" s="10">
        <v>28.508199999999999</v>
      </c>
      <c r="GM60" s="10">
        <v>265.28379999999999</v>
      </c>
      <c r="GN60" s="10">
        <v>6.3053999999999997</v>
      </c>
      <c r="GO60" s="10">
        <v>10.535299999999999</v>
      </c>
      <c r="GP60" s="10">
        <v>281.7047</v>
      </c>
      <c r="GQ60" s="10">
        <v>0.49464000000000002</v>
      </c>
      <c r="GR60" s="10">
        <v>3.0975999999999999</v>
      </c>
      <c r="GS60" s="10">
        <v>0.12823999999999999</v>
      </c>
      <c r="GT60" s="10">
        <v>40.052100000000003</v>
      </c>
      <c r="GU60" s="10">
        <v>29.008099999999999</v>
      </c>
      <c r="GV60" s="10">
        <v>401.23970000000003</v>
      </c>
      <c r="GW60" s="10">
        <v>70.163799999999995</v>
      </c>
      <c r="GX60" s="10">
        <v>0.21618000000000001</v>
      </c>
      <c r="GY60" s="10">
        <v>1.0992E-2</v>
      </c>
      <c r="GZ60" s="10">
        <v>4.8051000000000004</v>
      </c>
      <c r="HA60" s="10">
        <v>234.2003</v>
      </c>
      <c r="HB60" s="10">
        <v>228.58349999999999</v>
      </c>
      <c r="HC60" s="10">
        <v>399.1096</v>
      </c>
      <c r="HD60" s="10">
        <v>5292.2676000000001</v>
      </c>
      <c r="HE60" s="10">
        <v>6.5252999999999997</v>
      </c>
      <c r="HF60" s="10">
        <v>105.22190000000001</v>
      </c>
      <c r="HG60" s="10">
        <v>0.14656</v>
      </c>
      <c r="HH60" s="10">
        <v>163.19059999999999</v>
      </c>
      <c r="HI60" s="10">
        <v>185.43219999999999</v>
      </c>
      <c r="HJ60" s="10">
        <v>2.5648000000000001E-2</v>
      </c>
      <c r="HK60" s="11"/>
      <c r="HL60" s="10">
        <v>10.425800000000001</v>
      </c>
      <c r="HM60" s="10">
        <v>4.8377999999999997</v>
      </c>
      <c r="HN60" s="10">
        <v>10.8148</v>
      </c>
      <c r="HO60" s="10">
        <f t="shared" si="3"/>
        <v>34033.76825400001</v>
      </c>
      <c r="HP60" s="10">
        <f t="shared" si="4"/>
        <v>34.033768254000009</v>
      </c>
      <c r="HQ60" s="10">
        <f t="shared" si="5"/>
        <v>9.2810930608126565</v>
      </c>
      <c r="HR60" s="11"/>
      <c r="HS60" s="12">
        <v>10.49274</v>
      </c>
      <c r="HT60" s="12">
        <f t="shared" si="6"/>
        <v>0.11547478915777409</v>
      </c>
      <c r="HU60" s="12"/>
      <c r="HV60" s="13"/>
      <c r="HW60" s="13"/>
    </row>
    <row r="61" spans="1:231" ht="19.95" customHeight="1">
      <c r="A61" s="8">
        <v>2017</v>
      </c>
      <c r="B61" s="9">
        <v>6.8597999999999999</v>
      </c>
      <c r="C61" s="10">
        <v>5.4043999999999999</v>
      </c>
      <c r="D61" s="10">
        <v>153.44839999999999</v>
      </c>
      <c r="E61" s="10">
        <v>0.46533000000000002</v>
      </c>
      <c r="F61" s="10">
        <v>37.470799999999997</v>
      </c>
      <c r="G61" s="10">
        <v>0.1429</v>
      </c>
      <c r="H61" s="10">
        <v>0.49098000000000003</v>
      </c>
      <c r="I61" s="10">
        <v>187.41589999999999</v>
      </c>
      <c r="J61" s="10">
        <v>5.4847999999999999</v>
      </c>
      <c r="K61" s="10">
        <v>0.91600000000000004</v>
      </c>
      <c r="L61" s="10">
        <v>415.09739999999999</v>
      </c>
      <c r="M61" s="10">
        <v>69.628900000000002</v>
      </c>
      <c r="N61" s="10">
        <v>36.497900000000001</v>
      </c>
      <c r="O61" s="10">
        <v>1.9712000000000001</v>
      </c>
      <c r="P61" s="10">
        <v>32.7714</v>
      </c>
      <c r="Q61" s="10">
        <v>80.323800000000006</v>
      </c>
      <c r="R61" s="10">
        <v>1.1709000000000001</v>
      </c>
      <c r="S61" s="10">
        <v>60.742899999999999</v>
      </c>
      <c r="T61" s="10">
        <v>99.456299999999999</v>
      </c>
      <c r="U61" s="10">
        <v>0.61555000000000004</v>
      </c>
      <c r="V61" s="10">
        <v>7.4249000000000001</v>
      </c>
      <c r="W61" s="10">
        <v>0.63021000000000005</v>
      </c>
      <c r="X61" s="10">
        <v>1.2567999999999999</v>
      </c>
      <c r="Y61" s="10">
        <v>21.810600000000001</v>
      </c>
      <c r="Z61" s="10">
        <v>0.33341999999999999</v>
      </c>
      <c r="AA61" s="10">
        <v>21.791499999999999</v>
      </c>
      <c r="AB61" s="10">
        <v>7.0589000000000004</v>
      </c>
      <c r="AC61" s="10">
        <v>484.5881</v>
      </c>
      <c r="AD61" s="10">
        <v>0.16854</v>
      </c>
      <c r="AE61" s="10">
        <v>9.5519999999999996</v>
      </c>
      <c r="AF61" s="10">
        <v>47.505200000000002</v>
      </c>
      <c r="AG61" s="10">
        <v>3.9384000000000001</v>
      </c>
      <c r="AH61" s="10">
        <v>0.54918</v>
      </c>
      <c r="AI61" s="10">
        <v>11.186</v>
      </c>
      <c r="AJ61" s="10">
        <v>7.5305</v>
      </c>
      <c r="AK61" s="10">
        <v>572.83439999999996</v>
      </c>
      <c r="AL61" s="10">
        <v>0.57891000000000004</v>
      </c>
      <c r="AM61" s="11"/>
      <c r="AN61" s="10">
        <v>0.29677999999999999</v>
      </c>
      <c r="AO61" s="10">
        <v>0.99658999999999998</v>
      </c>
      <c r="AP61" s="10">
        <v>84.062100000000001</v>
      </c>
      <c r="AQ61" s="10">
        <v>9750.7260000000006</v>
      </c>
      <c r="AR61" s="10">
        <v>91.669799999999995</v>
      </c>
      <c r="AS61" s="10">
        <v>0.23816000000000001</v>
      </c>
      <c r="AT61" s="10">
        <v>3.5259</v>
      </c>
      <c r="AU61" s="10">
        <v>6.9615999999999997E-2</v>
      </c>
      <c r="AV61" s="10">
        <v>8.2352000000000007</v>
      </c>
      <c r="AW61" s="10">
        <v>11.8604</v>
      </c>
      <c r="AX61" s="10">
        <v>18.7377</v>
      </c>
      <c r="AY61" s="10">
        <v>25.1312</v>
      </c>
      <c r="AZ61" s="10">
        <v>5.093</v>
      </c>
      <c r="BA61" s="10">
        <v>7.5156999999999998</v>
      </c>
      <c r="BB61" s="10">
        <v>105.6417</v>
      </c>
      <c r="BC61" s="10">
        <v>2.2048999999999999</v>
      </c>
      <c r="BD61" s="10">
        <v>34.722200000000001</v>
      </c>
      <c r="BE61" s="10">
        <v>0.37981999999999999</v>
      </c>
      <c r="BF61" s="10">
        <v>0.16122</v>
      </c>
      <c r="BG61" s="10">
        <v>24.254999999999999</v>
      </c>
      <c r="BH61" s="10">
        <v>39.2376</v>
      </c>
      <c r="BI61" s="10">
        <v>250.24010000000001</v>
      </c>
      <c r="BJ61" s="10">
        <v>6.0156000000000001</v>
      </c>
      <c r="BK61" s="10">
        <v>5.9795999999999996</v>
      </c>
      <c r="BL61" s="10">
        <v>0.68881000000000003</v>
      </c>
      <c r="BM61" s="10">
        <v>18.635899999999999</v>
      </c>
      <c r="BN61" s="10">
        <v>15.5936</v>
      </c>
      <c r="BO61" s="10">
        <v>0.70714999999999995</v>
      </c>
      <c r="BP61" s="11"/>
      <c r="BQ61" s="10">
        <v>2.0371000000000001</v>
      </c>
      <c r="BR61" s="10">
        <v>44.673099999999998</v>
      </c>
      <c r="BS61" s="10">
        <v>345.92129999999997</v>
      </c>
      <c r="BT61" s="11"/>
      <c r="BU61" s="10">
        <v>0.74746000000000001</v>
      </c>
      <c r="BV61" s="10">
        <v>4.7929000000000004</v>
      </c>
      <c r="BW61" s="10">
        <v>0.53493999999999997</v>
      </c>
      <c r="BX61" s="10">
        <v>9.8318999999999992</v>
      </c>
      <c r="BY61" s="10">
        <v>786.65459999999996</v>
      </c>
      <c r="BZ61" s="10">
        <v>13.817</v>
      </c>
      <c r="CA61" s="11"/>
      <c r="CB61" s="10">
        <v>74.852800000000002</v>
      </c>
      <c r="CC61" s="10">
        <v>0.51295999999999997</v>
      </c>
      <c r="CD61" s="10">
        <v>0.27845999999999999</v>
      </c>
      <c r="CE61" s="11"/>
      <c r="CF61" s="10">
        <v>17.214300000000001</v>
      </c>
      <c r="CG61" s="10">
        <v>2.8799000000000001</v>
      </c>
      <c r="CH61" s="10">
        <v>0.29311999999999999</v>
      </c>
      <c r="CI61" s="10">
        <v>2.3182999999999998</v>
      </c>
      <c r="CJ61" s="10">
        <v>3.2719999999999998</v>
      </c>
      <c r="CK61" s="10">
        <v>9.8991000000000007</v>
      </c>
      <c r="CL61" s="10">
        <v>42.552100000000003</v>
      </c>
      <c r="CM61" s="10">
        <v>49.684800000000003</v>
      </c>
      <c r="CN61" s="10">
        <v>3.6149</v>
      </c>
      <c r="CO61" s="10">
        <v>2456.8476000000001</v>
      </c>
      <c r="CP61" s="10">
        <v>531.01199999999994</v>
      </c>
      <c r="CQ61" s="10">
        <v>724.57849999999996</v>
      </c>
      <c r="CR61" s="10">
        <v>208.7131</v>
      </c>
      <c r="CS61" s="10">
        <v>38.910200000000003</v>
      </c>
      <c r="CT61" s="10">
        <v>62.467300000000002</v>
      </c>
      <c r="CU61" s="10">
        <v>351.47390000000001</v>
      </c>
      <c r="CV61" s="10">
        <v>7.7975000000000003</v>
      </c>
      <c r="CW61" s="10">
        <v>1187.6614999999999</v>
      </c>
      <c r="CX61" s="10">
        <v>25.467199999999998</v>
      </c>
      <c r="CY61" s="10">
        <v>307.92649999999998</v>
      </c>
      <c r="CZ61" s="10">
        <v>16.532499999999999</v>
      </c>
      <c r="DA61" s="10">
        <v>6.5951999999999997E-2</v>
      </c>
      <c r="DB61" s="10">
        <v>8.0937999999999999</v>
      </c>
      <c r="DC61" s="10">
        <v>104.78400000000001</v>
      </c>
      <c r="DD61" s="10">
        <v>9.2629000000000001</v>
      </c>
      <c r="DE61" s="10">
        <v>17.914400000000001</v>
      </c>
      <c r="DF61" s="10">
        <v>7.2228000000000003</v>
      </c>
      <c r="DG61" s="10">
        <v>27.935300000000002</v>
      </c>
      <c r="DH61" s="10">
        <v>2.5282</v>
      </c>
      <c r="DI61" s="10">
        <v>1.2152000000000001</v>
      </c>
      <c r="DJ61" s="10">
        <v>43.729399999999998</v>
      </c>
      <c r="DK61" s="10">
        <v>0.15628</v>
      </c>
      <c r="DL61" s="10">
        <v>13.5458</v>
      </c>
      <c r="DM61" s="10">
        <v>9.2504000000000008</v>
      </c>
      <c r="DN61" s="10">
        <v>2.15</v>
      </c>
      <c r="DO61" s="10">
        <v>3.8862999999999999</v>
      </c>
      <c r="DP61" s="10">
        <v>1.4020999999999999</v>
      </c>
      <c r="DQ61" s="10">
        <v>248.86949999999999</v>
      </c>
      <c r="DR61" s="10">
        <v>1.4985999999999999</v>
      </c>
      <c r="DS61" s="10">
        <v>3.1213000000000002</v>
      </c>
      <c r="DT61" s="10">
        <v>1.5529999999999999</v>
      </c>
      <c r="DU61" s="10">
        <v>0.14656</v>
      </c>
      <c r="DV61" s="11"/>
      <c r="DW61" s="10">
        <v>3.7372999999999998</v>
      </c>
      <c r="DX61" s="10">
        <v>4.5359999999999996</v>
      </c>
      <c r="DY61" s="10">
        <v>461.238</v>
      </c>
      <c r="DZ61" s="10">
        <v>0.1429</v>
      </c>
      <c r="EA61" s="10">
        <v>5.2915999999999999</v>
      </c>
      <c r="EB61" s="10">
        <v>34.154200000000003</v>
      </c>
      <c r="EC61" s="10">
        <v>2.1031</v>
      </c>
      <c r="ED61" s="10">
        <v>2.9312000000000001E-2</v>
      </c>
      <c r="EE61" s="10">
        <v>63.830800000000004</v>
      </c>
      <c r="EF61" s="10">
        <v>8.1472999999999995</v>
      </c>
      <c r="EG61" s="10">
        <v>23.669799999999999</v>
      </c>
      <c r="EH61" s="10">
        <v>4.0982000000000003</v>
      </c>
      <c r="EI61" s="10">
        <v>4.7632000000000001E-2</v>
      </c>
      <c r="EJ61" s="10">
        <v>10.1235</v>
      </c>
      <c r="EK61" s="10">
        <v>164.44479999999999</v>
      </c>
      <c r="EL61" s="10">
        <v>5.3448000000000002</v>
      </c>
      <c r="EM61" s="10">
        <v>36.153300000000002</v>
      </c>
      <c r="EN61" s="10">
        <v>5.3746999999999998</v>
      </c>
      <c r="EO61" s="10">
        <v>2.0057999999999998</v>
      </c>
      <c r="EP61" s="10">
        <v>130.27549999999999</v>
      </c>
      <c r="EQ61" s="10">
        <v>7.3280000000000003E-3</v>
      </c>
      <c r="ER61" s="10">
        <v>21.754000000000001</v>
      </c>
      <c r="ES61" s="10">
        <v>7.5075000000000003</v>
      </c>
      <c r="ET61" s="10">
        <v>43.5625</v>
      </c>
      <c r="EU61" s="10">
        <v>3.2683</v>
      </c>
      <c r="EV61" s="10">
        <v>65.510800000000003</v>
      </c>
      <c r="EW61" s="10">
        <v>232.4248</v>
      </c>
      <c r="EX61" s="10">
        <v>0.23083000000000001</v>
      </c>
      <c r="EY61" s="10">
        <v>11.961499999999999</v>
      </c>
      <c r="EZ61" s="10">
        <v>6.5476000000000001</v>
      </c>
      <c r="FA61" s="10">
        <v>8.0149000000000008</v>
      </c>
      <c r="FB61" s="10">
        <v>52.488599999999998</v>
      </c>
      <c r="FC61" s="10">
        <v>134.51849999999999</v>
      </c>
      <c r="FD61" s="10">
        <v>337.34039999999999</v>
      </c>
      <c r="FE61" s="10">
        <v>54.72</v>
      </c>
      <c r="FF61" s="10">
        <v>105.56910000000001</v>
      </c>
      <c r="FG61" s="10">
        <v>1.4912000000000001</v>
      </c>
      <c r="FH61" s="11"/>
      <c r="FI61" s="10">
        <v>78.077500000000001</v>
      </c>
      <c r="FJ61" s="10">
        <v>1646.1797999999999</v>
      </c>
      <c r="FK61" s="10">
        <v>1.0505</v>
      </c>
      <c r="FL61" s="10">
        <v>1.0992E-2</v>
      </c>
      <c r="FM61" s="10">
        <v>0.24182000000000001</v>
      </c>
      <c r="FN61" s="10">
        <v>0.35174</v>
      </c>
      <c r="FO61" s="10">
        <v>7.6943999999999999E-2</v>
      </c>
      <c r="FP61" s="10">
        <v>0.25647999999999999</v>
      </c>
      <c r="FQ61" s="10">
        <v>0.25647999999999999</v>
      </c>
      <c r="FR61" s="10">
        <v>0.12458</v>
      </c>
      <c r="FS61" s="10">
        <v>579.41660000000002</v>
      </c>
      <c r="FT61" s="10">
        <v>9.3643000000000001</v>
      </c>
      <c r="FU61" s="10">
        <v>45.482700000000001</v>
      </c>
      <c r="FV61" s="10">
        <v>0.58623999999999998</v>
      </c>
      <c r="FW61" s="10">
        <v>0.93798000000000004</v>
      </c>
      <c r="FX61" s="10">
        <v>39.065600000000003</v>
      </c>
      <c r="FY61" s="10">
        <v>36.087299999999999</v>
      </c>
      <c r="FZ61" s="10">
        <v>14.264799999999999</v>
      </c>
      <c r="GA61" s="10">
        <v>0.28578999999999999</v>
      </c>
      <c r="GB61" s="10">
        <v>0.63754</v>
      </c>
      <c r="GC61" s="10">
        <v>466.10320000000002</v>
      </c>
      <c r="GD61" s="10">
        <v>620.61</v>
      </c>
      <c r="GE61" s="10">
        <v>274.67129999999997</v>
      </c>
      <c r="GF61" s="10">
        <v>22.984400000000001</v>
      </c>
      <c r="GG61" s="10">
        <v>21.7149</v>
      </c>
      <c r="GH61" s="10">
        <v>2.5203000000000002</v>
      </c>
      <c r="GI61" s="10">
        <v>0.98562000000000005</v>
      </c>
      <c r="GJ61" s="10">
        <v>42.306800000000003</v>
      </c>
      <c r="GK61" s="10">
        <v>38.182299999999998</v>
      </c>
      <c r="GL61" s="10">
        <v>26.401399999999999</v>
      </c>
      <c r="GM61" s="10">
        <v>272.45049999999998</v>
      </c>
      <c r="GN61" s="10">
        <v>6.8727</v>
      </c>
      <c r="GO61" s="10">
        <v>11.018599999999999</v>
      </c>
      <c r="GP61" s="10">
        <v>286.33600000000001</v>
      </c>
      <c r="GQ61" s="10">
        <v>0.49830000000000002</v>
      </c>
      <c r="GR61" s="10">
        <v>3.0491999999999999</v>
      </c>
      <c r="GS61" s="10">
        <v>0.15755</v>
      </c>
      <c r="GT61" s="10">
        <v>39.967799999999997</v>
      </c>
      <c r="GU61" s="10">
        <v>29.62</v>
      </c>
      <c r="GV61" s="10">
        <v>425.32920000000001</v>
      </c>
      <c r="GW61" s="10">
        <v>70.193100000000001</v>
      </c>
      <c r="GX61" s="10">
        <v>0.23083000000000001</v>
      </c>
      <c r="GY61" s="10">
        <v>1.0992E-2</v>
      </c>
      <c r="GZ61" s="10">
        <v>5.2263999999999999</v>
      </c>
      <c r="HA61" s="10">
        <v>223.23220000000001</v>
      </c>
      <c r="HB61" s="10">
        <v>186.6233</v>
      </c>
      <c r="HC61" s="10">
        <v>388.08839999999998</v>
      </c>
      <c r="HD61" s="10">
        <v>5253.6061</v>
      </c>
      <c r="HE61" s="10">
        <v>6.1734999999999998</v>
      </c>
      <c r="HF61" s="10">
        <v>109.28149999999999</v>
      </c>
      <c r="HG61" s="10">
        <v>0.13922999999999999</v>
      </c>
      <c r="HH61" s="10">
        <v>146.67330000000001</v>
      </c>
      <c r="HI61" s="10">
        <v>182.584</v>
      </c>
      <c r="HJ61" s="10">
        <v>2.5648000000000001E-2</v>
      </c>
      <c r="HK61" s="11"/>
      <c r="HL61" s="10">
        <v>10.107100000000001</v>
      </c>
      <c r="HM61" s="10">
        <v>6.5195999999999996</v>
      </c>
      <c r="HN61" s="10">
        <v>10.2468</v>
      </c>
      <c r="HO61" s="10">
        <f t="shared" si="3"/>
        <v>34447.001256000018</v>
      </c>
      <c r="HP61" s="10">
        <f t="shared" si="4"/>
        <v>34.447001256000014</v>
      </c>
      <c r="HQ61" s="10">
        <f t="shared" si="5"/>
        <v>9.3937827259340096</v>
      </c>
      <c r="HR61" s="11"/>
      <c r="HS61" s="12">
        <v>10.75393</v>
      </c>
      <c r="HT61" s="12">
        <f t="shared" si="6"/>
        <v>0.12647908941810027</v>
      </c>
      <c r="HU61" s="12"/>
      <c r="HV61" s="13"/>
      <c r="HW61" s="13"/>
    </row>
    <row r="62" spans="1:231" ht="19.95" customHeight="1">
      <c r="A62" s="8">
        <v>2018</v>
      </c>
      <c r="B62" s="9">
        <v>10.4527</v>
      </c>
      <c r="C62" s="10">
        <v>5.4029999999999996</v>
      </c>
      <c r="D62" s="10">
        <v>164.30930000000001</v>
      </c>
      <c r="E62" s="10">
        <v>0.46421000000000001</v>
      </c>
      <c r="F62" s="10">
        <v>37.678600000000003</v>
      </c>
      <c r="G62" s="10">
        <v>0.14713999999999999</v>
      </c>
      <c r="H62" s="10">
        <v>0.50556999999999996</v>
      </c>
      <c r="I62" s="10">
        <v>185.0299</v>
      </c>
      <c r="J62" s="10">
        <v>6.2965999999999998</v>
      </c>
      <c r="K62" s="10">
        <v>0.94323000000000001</v>
      </c>
      <c r="L62" s="10">
        <v>415.95389999999998</v>
      </c>
      <c r="M62" s="10">
        <v>66.719700000000003</v>
      </c>
      <c r="N62" s="10">
        <v>37.488399999999999</v>
      </c>
      <c r="O62" s="10">
        <v>2.0299999999999998</v>
      </c>
      <c r="P62" s="10">
        <v>31.5945</v>
      </c>
      <c r="Q62" s="10">
        <v>85.718800000000002</v>
      </c>
      <c r="R62" s="10">
        <v>1.2071000000000001</v>
      </c>
      <c r="S62" s="10">
        <v>61.871699999999997</v>
      </c>
      <c r="T62" s="10">
        <v>100.20780000000001</v>
      </c>
      <c r="U62" s="10">
        <v>0.61221000000000003</v>
      </c>
      <c r="V62" s="10">
        <v>7.7598000000000003</v>
      </c>
      <c r="W62" s="10">
        <v>0.64895000000000003</v>
      </c>
      <c r="X62" s="10">
        <v>1.6621999999999999</v>
      </c>
      <c r="Y62" s="10">
        <v>22.345500000000001</v>
      </c>
      <c r="Z62" s="10">
        <v>0.34333999999999998</v>
      </c>
      <c r="AA62" s="10">
        <v>22.086099999999998</v>
      </c>
      <c r="AB62" s="10">
        <v>6.8154000000000003</v>
      </c>
      <c r="AC62" s="10">
        <v>466.64929999999998</v>
      </c>
      <c r="AD62" s="10">
        <v>0.17355999999999999</v>
      </c>
      <c r="AE62" s="10">
        <v>9.5603999999999996</v>
      </c>
      <c r="AF62" s="10">
        <v>43.551600000000001</v>
      </c>
      <c r="AG62" s="10">
        <v>4.1402999999999999</v>
      </c>
      <c r="AH62" s="10">
        <v>0.56803000000000003</v>
      </c>
      <c r="AI62" s="10">
        <v>15.478999999999999</v>
      </c>
      <c r="AJ62" s="10">
        <v>7.5667999999999997</v>
      </c>
      <c r="AK62" s="10">
        <v>586.50459999999998</v>
      </c>
      <c r="AL62" s="10">
        <v>0.60951</v>
      </c>
      <c r="AM62" s="11"/>
      <c r="AN62" s="10">
        <v>0.30048000000000002</v>
      </c>
      <c r="AO62" s="10">
        <v>1.008</v>
      </c>
      <c r="AP62" s="10">
        <v>85.829099999999997</v>
      </c>
      <c r="AQ62" s="10">
        <v>9956.5684999999994</v>
      </c>
      <c r="AR62" s="10">
        <v>92.228200000000001</v>
      </c>
      <c r="AS62" s="10">
        <v>0.24593000000000001</v>
      </c>
      <c r="AT62" s="10">
        <v>3.5183</v>
      </c>
      <c r="AU62" s="10">
        <v>7.2706000000000007E-2</v>
      </c>
      <c r="AV62" s="10">
        <v>8.2491000000000003</v>
      </c>
      <c r="AW62" s="10">
        <v>12.514099999999999</v>
      </c>
      <c r="AX62" s="10">
        <v>17.718599999999999</v>
      </c>
      <c r="AY62" s="10">
        <v>26.084399999999999</v>
      </c>
      <c r="AZ62" s="10">
        <v>5.2694000000000001</v>
      </c>
      <c r="BA62" s="10">
        <v>7.3327999999999998</v>
      </c>
      <c r="BB62" s="10">
        <v>104.41119999999999</v>
      </c>
      <c r="BC62" s="10">
        <v>2.2313000000000001</v>
      </c>
      <c r="BD62" s="10">
        <v>34.651400000000002</v>
      </c>
      <c r="BE62" s="10">
        <v>0.38996999999999998</v>
      </c>
      <c r="BF62" s="10">
        <v>0.16600999999999999</v>
      </c>
      <c r="BG62" s="10">
        <v>25.305199999999999</v>
      </c>
      <c r="BH62" s="10">
        <v>41.817999999999998</v>
      </c>
      <c r="BI62" s="10">
        <v>251.46090000000001</v>
      </c>
      <c r="BJ62" s="10">
        <v>6.0183</v>
      </c>
      <c r="BK62" s="10">
        <v>5.9058000000000002</v>
      </c>
      <c r="BL62" s="10">
        <v>0.70877000000000001</v>
      </c>
      <c r="BM62" s="10">
        <v>17.710999999999999</v>
      </c>
      <c r="BN62" s="10">
        <v>16.184899999999999</v>
      </c>
      <c r="BO62" s="10">
        <v>0.70545000000000002</v>
      </c>
      <c r="BP62" s="11"/>
      <c r="BQ62" s="10">
        <v>2.1238000000000001</v>
      </c>
      <c r="BR62" s="10">
        <v>45.849299999999999</v>
      </c>
      <c r="BS62" s="10">
        <v>331.72539999999998</v>
      </c>
      <c r="BT62" s="11"/>
      <c r="BU62" s="10">
        <v>0.78063000000000005</v>
      </c>
      <c r="BV62" s="10">
        <v>4.8030999999999997</v>
      </c>
      <c r="BW62" s="10">
        <v>0.56323999999999996</v>
      </c>
      <c r="BX62" s="10">
        <v>9.8621999999999996</v>
      </c>
      <c r="BY62" s="10">
        <v>755.3623</v>
      </c>
      <c r="BZ62" s="10">
        <v>14.48</v>
      </c>
      <c r="CA62" s="11"/>
      <c r="CB62" s="10">
        <v>71.797899999999998</v>
      </c>
      <c r="CC62" s="10">
        <v>0.51173000000000002</v>
      </c>
      <c r="CD62" s="10">
        <v>0.27860000000000001</v>
      </c>
      <c r="CE62" s="11"/>
      <c r="CF62" s="10">
        <v>19.411300000000001</v>
      </c>
      <c r="CG62" s="10">
        <v>3.0320999999999998</v>
      </c>
      <c r="CH62" s="10">
        <v>0.30861</v>
      </c>
      <c r="CI62" s="10">
        <v>2.3426</v>
      </c>
      <c r="CJ62" s="10">
        <v>3.367</v>
      </c>
      <c r="CK62" s="10">
        <v>10.470700000000001</v>
      </c>
      <c r="CL62" s="10">
        <v>42.505699999999997</v>
      </c>
      <c r="CM62" s="10">
        <v>49.628500000000003</v>
      </c>
      <c r="CN62" s="10">
        <v>3.6745000000000001</v>
      </c>
      <c r="CO62" s="10">
        <v>2591.3236999999999</v>
      </c>
      <c r="CP62" s="10">
        <v>576.58439999999996</v>
      </c>
      <c r="CQ62" s="10">
        <v>755.40219999999999</v>
      </c>
      <c r="CR62" s="10">
        <v>211.27029999999999</v>
      </c>
      <c r="CS62" s="10">
        <v>38.803400000000003</v>
      </c>
      <c r="CT62" s="10">
        <v>62.212600000000002</v>
      </c>
      <c r="CU62" s="10">
        <v>348.08499999999998</v>
      </c>
      <c r="CV62" s="10">
        <v>8.0097000000000005</v>
      </c>
      <c r="CW62" s="10">
        <v>1135.6880000000001</v>
      </c>
      <c r="CX62" s="10">
        <v>24.9238</v>
      </c>
      <c r="CY62" s="10">
        <v>319.6474</v>
      </c>
      <c r="CZ62" s="10">
        <v>17.136700000000001</v>
      </c>
      <c r="DA62" s="10">
        <v>6.8878999999999996E-2</v>
      </c>
      <c r="DB62" s="10">
        <v>8.1919000000000004</v>
      </c>
      <c r="DC62" s="10">
        <v>104.2176</v>
      </c>
      <c r="DD62" s="10">
        <v>10.168900000000001</v>
      </c>
      <c r="DE62" s="10">
        <v>32.262500000000003</v>
      </c>
      <c r="DF62" s="10">
        <v>7.8593000000000002</v>
      </c>
      <c r="DG62" s="10">
        <v>27.5654</v>
      </c>
      <c r="DH62" s="10">
        <v>2.4256000000000002</v>
      </c>
      <c r="DI62" s="10">
        <v>1.2745</v>
      </c>
      <c r="DJ62" s="10">
        <v>45.206000000000003</v>
      </c>
      <c r="DK62" s="10">
        <v>0.14374999999999999</v>
      </c>
      <c r="DL62" s="10">
        <v>13.669499999999999</v>
      </c>
      <c r="DM62" s="10">
        <v>9.5685000000000002</v>
      </c>
      <c r="DN62" s="10">
        <v>2.2164999999999999</v>
      </c>
      <c r="DO62" s="10">
        <v>4.1878000000000002</v>
      </c>
      <c r="DP62" s="10">
        <v>1.4702999999999999</v>
      </c>
      <c r="DQ62" s="10">
        <v>249.14449999999999</v>
      </c>
      <c r="DR62" s="10">
        <v>1.5650999999999999</v>
      </c>
      <c r="DS62" s="10">
        <v>3.2732999999999999</v>
      </c>
      <c r="DT62" s="10">
        <v>1.5316000000000001</v>
      </c>
      <c r="DU62" s="10">
        <v>0.15307000000000001</v>
      </c>
      <c r="DV62" s="11"/>
      <c r="DW62" s="10">
        <v>3.9348000000000001</v>
      </c>
      <c r="DX62" s="10">
        <v>4.9016000000000002</v>
      </c>
      <c r="DY62" s="10">
        <v>451.08080000000001</v>
      </c>
      <c r="DZ62" s="10">
        <v>0.14924000000000001</v>
      </c>
      <c r="EA62" s="10">
        <v>5.8777999999999997</v>
      </c>
      <c r="EB62" s="10">
        <v>64.508300000000006</v>
      </c>
      <c r="EC62" s="10">
        <v>2.1231</v>
      </c>
      <c r="ED62" s="10">
        <v>3.0183999999999999E-2</v>
      </c>
      <c r="EE62" s="10">
        <v>65.367400000000004</v>
      </c>
      <c r="EF62" s="10">
        <v>8.3834999999999997</v>
      </c>
      <c r="EG62" s="10">
        <v>26.095600000000001</v>
      </c>
      <c r="EH62" s="10">
        <v>4.1543000000000001</v>
      </c>
      <c r="EI62" s="10">
        <v>4.9745999999999999E-2</v>
      </c>
      <c r="EJ62" s="10">
        <v>13.410399999999999</v>
      </c>
      <c r="EK62" s="10">
        <v>160.17009999999999</v>
      </c>
      <c r="EL62" s="10">
        <v>8.2089999999999996</v>
      </c>
      <c r="EM62" s="10">
        <v>35.080300000000001</v>
      </c>
      <c r="EN62" s="10">
        <v>5.3772000000000002</v>
      </c>
      <c r="EO62" s="10">
        <v>2.0937999999999999</v>
      </c>
      <c r="EP62" s="10">
        <v>136.07830000000001</v>
      </c>
      <c r="EQ62" s="10">
        <v>7.6533E-3</v>
      </c>
      <c r="ER62" s="10">
        <v>38.1629</v>
      </c>
      <c r="ES62" s="10">
        <v>6.9809000000000001</v>
      </c>
      <c r="ET62" s="10">
        <v>43.817700000000002</v>
      </c>
      <c r="EU62" s="10">
        <v>3.2198000000000002</v>
      </c>
      <c r="EV62" s="10">
        <v>71.029899999999998</v>
      </c>
      <c r="EW62" s="10">
        <v>247.4254</v>
      </c>
      <c r="EX62" s="10">
        <v>0.24107999999999999</v>
      </c>
      <c r="EY62" s="10">
        <v>12.096299999999999</v>
      </c>
      <c r="EZ62" s="10">
        <v>6.7861000000000002</v>
      </c>
      <c r="FA62" s="10">
        <v>8.1029999999999998</v>
      </c>
      <c r="FB62" s="10">
        <v>54.210299999999997</v>
      </c>
      <c r="FC62" s="10">
        <v>138.92439999999999</v>
      </c>
      <c r="FD62" s="10">
        <v>337.70569999999998</v>
      </c>
      <c r="FE62" s="10">
        <v>51.482500000000002</v>
      </c>
      <c r="FF62" s="10">
        <v>109.24469999999999</v>
      </c>
      <c r="FG62" s="10">
        <v>1.5399</v>
      </c>
      <c r="FH62" s="11"/>
      <c r="FI62" s="10">
        <v>76.9512</v>
      </c>
      <c r="FJ62" s="10">
        <v>1691.3604</v>
      </c>
      <c r="FK62" s="10">
        <v>1.0801000000000001</v>
      </c>
      <c r="FL62" s="10">
        <v>1.1318999999999999E-2</v>
      </c>
      <c r="FM62" s="10">
        <v>0.24901000000000001</v>
      </c>
      <c r="FN62" s="10">
        <v>0.36220000000000002</v>
      </c>
      <c r="FO62" s="10">
        <v>7.9231999999999997E-2</v>
      </c>
      <c r="FP62" s="10">
        <v>0.26411000000000001</v>
      </c>
      <c r="FQ62" s="10">
        <v>0.26785999999999999</v>
      </c>
      <c r="FR62" s="10">
        <v>0.12612999999999999</v>
      </c>
      <c r="FS62" s="10">
        <v>576.75779999999997</v>
      </c>
      <c r="FT62" s="10">
        <v>9.6904000000000003</v>
      </c>
      <c r="FU62" s="10">
        <v>46.053100000000001</v>
      </c>
      <c r="FV62" s="10">
        <v>0.60536000000000001</v>
      </c>
      <c r="FW62" s="10">
        <v>0.98755999999999999</v>
      </c>
      <c r="FX62" s="10">
        <v>38.2881</v>
      </c>
      <c r="FY62" s="10">
        <v>36.087800000000001</v>
      </c>
      <c r="FZ62" s="10">
        <v>14.4878</v>
      </c>
      <c r="GA62" s="10">
        <v>0.29848000000000002</v>
      </c>
      <c r="GB62" s="10">
        <v>0.65832999999999997</v>
      </c>
      <c r="GC62" s="10">
        <v>472.00119999999998</v>
      </c>
      <c r="GD62" s="10">
        <v>634.93409999999994</v>
      </c>
      <c r="GE62" s="10">
        <v>269.65429999999998</v>
      </c>
      <c r="GF62" s="10">
        <v>22.973199999999999</v>
      </c>
      <c r="GG62" s="10">
        <v>22.372399999999999</v>
      </c>
      <c r="GH62" s="10">
        <v>2.5518000000000001</v>
      </c>
      <c r="GI62" s="10">
        <v>0.98794999999999999</v>
      </c>
      <c r="GJ62" s="10">
        <v>41.766199999999998</v>
      </c>
      <c r="GK62" s="10">
        <v>36.895499999999998</v>
      </c>
      <c r="GL62" s="10">
        <v>25.877700000000001</v>
      </c>
      <c r="GM62" s="10">
        <v>273.10469999999998</v>
      </c>
      <c r="GN62" s="10">
        <v>7.4733000000000001</v>
      </c>
      <c r="GO62" s="10">
        <v>11.501899999999999</v>
      </c>
      <c r="GP62" s="10">
        <v>292.45299999999997</v>
      </c>
      <c r="GQ62" s="10">
        <v>0.52041999999999999</v>
      </c>
      <c r="GR62" s="10">
        <v>3.1673</v>
      </c>
      <c r="GS62" s="10">
        <v>0.16455</v>
      </c>
      <c r="GT62" s="10">
        <v>37.865600000000001</v>
      </c>
      <c r="GU62" s="10">
        <v>30.357099999999999</v>
      </c>
      <c r="GV62" s="10">
        <v>419.19470000000001</v>
      </c>
      <c r="GW62" s="10">
        <v>78.034700000000001</v>
      </c>
      <c r="GX62" s="10">
        <v>0.23769999999999999</v>
      </c>
      <c r="GY62" s="10">
        <v>1.1480000000000001E-2</v>
      </c>
      <c r="GZ62" s="10">
        <v>5.3848000000000003</v>
      </c>
      <c r="HA62" s="10">
        <v>231.6942</v>
      </c>
      <c r="HB62" s="10">
        <v>188.54140000000001</v>
      </c>
      <c r="HC62" s="10">
        <v>380.1386</v>
      </c>
      <c r="HD62" s="10">
        <v>5424.8815000000004</v>
      </c>
      <c r="HE62" s="10">
        <v>6.2518000000000002</v>
      </c>
      <c r="HF62" s="10">
        <v>113.9384</v>
      </c>
      <c r="HG62" s="10">
        <v>0.14541000000000001</v>
      </c>
      <c r="HH62" s="10">
        <v>129.59630000000001</v>
      </c>
      <c r="HI62" s="10">
        <v>211.7741</v>
      </c>
      <c r="HJ62" s="10">
        <v>2.6786000000000001E-2</v>
      </c>
      <c r="HK62" s="11"/>
      <c r="HL62" s="10">
        <v>9.9452999999999996</v>
      </c>
      <c r="HM62" s="10">
        <v>6.9301000000000004</v>
      </c>
      <c r="HN62" s="10">
        <v>11.3406</v>
      </c>
      <c r="HO62" s="10">
        <f t="shared" si="3"/>
        <v>35151.247565299986</v>
      </c>
      <c r="HP62" s="10">
        <f t="shared" si="4"/>
        <v>35.151247565299983</v>
      </c>
      <c r="HQ62" s="10">
        <f t="shared" si="5"/>
        <v>9.5858324421325296</v>
      </c>
      <c r="HR62" s="11"/>
      <c r="HS62" s="12">
        <v>11.01512</v>
      </c>
      <c r="HT62" s="12">
        <f t="shared" si="6"/>
        <v>0.1297568758095663</v>
      </c>
      <c r="HU62" s="12"/>
      <c r="HV62" s="13"/>
      <c r="HW62" s="13"/>
    </row>
    <row r="63" spans="1:231" ht="19.95" customHeight="1">
      <c r="A63" s="8">
        <v>2019</v>
      </c>
      <c r="B63" s="9">
        <v>10.7203</v>
      </c>
      <c r="C63" s="10">
        <v>5.5789999999999997</v>
      </c>
      <c r="D63" s="10">
        <v>171.70699999999999</v>
      </c>
      <c r="E63" s="10">
        <v>0.47049000000000002</v>
      </c>
      <c r="F63" s="10">
        <v>38.020299999999999</v>
      </c>
      <c r="G63" s="10">
        <v>0.14329</v>
      </c>
      <c r="H63" s="10">
        <v>0.49234</v>
      </c>
      <c r="I63" s="10">
        <v>178.93950000000001</v>
      </c>
      <c r="J63" s="10">
        <v>6.0058999999999996</v>
      </c>
      <c r="K63" s="10">
        <v>0.91854999999999998</v>
      </c>
      <c r="L63" s="10">
        <v>411.01569999999998</v>
      </c>
      <c r="M63" s="10">
        <v>68.495099999999994</v>
      </c>
      <c r="N63" s="10">
        <v>39.820099999999996</v>
      </c>
      <c r="O63" s="10">
        <v>1.9791000000000001</v>
      </c>
      <c r="P63" s="10">
        <v>34.354300000000002</v>
      </c>
      <c r="Q63" s="10">
        <v>102.1617</v>
      </c>
      <c r="R63" s="10">
        <v>1.1866000000000001</v>
      </c>
      <c r="S63" s="10">
        <v>62.483899999999998</v>
      </c>
      <c r="T63" s="10">
        <v>99.7089</v>
      </c>
      <c r="U63" s="10">
        <v>0.63280000000000003</v>
      </c>
      <c r="V63" s="10">
        <v>7.9981</v>
      </c>
      <c r="W63" s="10">
        <v>0.63195999999999997</v>
      </c>
      <c r="X63" s="10">
        <v>1.7068000000000001</v>
      </c>
      <c r="Y63" s="10">
        <v>22.5749</v>
      </c>
      <c r="Z63" s="10">
        <v>0.33434999999999998</v>
      </c>
      <c r="AA63" s="10">
        <v>26.621099999999998</v>
      </c>
      <c r="AB63" s="10">
        <v>6.3163999999999998</v>
      </c>
      <c r="AC63" s="10">
        <v>465.7158</v>
      </c>
      <c r="AD63" s="10">
        <v>0.16900999999999999</v>
      </c>
      <c r="AE63" s="10">
        <v>9.0886999999999993</v>
      </c>
      <c r="AF63" s="10">
        <v>42.006500000000003</v>
      </c>
      <c r="AG63" s="10">
        <v>4.3013000000000003</v>
      </c>
      <c r="AH63" s="10">
        <v>0.57979000000000003</v>
      </c>
      <c r="AI63" s="10">
        <v>16.027000000000001</v>
      </c>
      <c r="AJ63" s="10">
        <v>7.5926999999999998</v>
      </c>
      <c r="AK63" s="10">
        <v>576.65049999999997</v>
      </c>
      <c r="AL63" s="10">
        <v>0.63388999999999995</v>
      </c>
      <c r="AM63" s="11"/>
      <c r="AN63" s="10">
        <v>0.30764999999999998</v>
      </c>
      <c r="AO63" s="10">
        <v>1.0303</v>
      </c>
      <c r="AP63" s="10">
        <v>84.266599999999997</v>
      </c>
      <c r="AQ63" s="10">
        <v>10174.6811</v>
      </c>
      <c r="AR63" s="10">
        <v>102.2024</v>
      </c>
      <c r="AS63" s="10">
        <v>0.25311</v>
      </c>
      <c r="AT63" s="10">
        <v>3.4569999999999999</v>
      </c>
      <c r="AU63" s="10">
        <v>7.7460000000000001E-2</v>
      </c>
      <c r="AV63" s="10">
        <v>8.5075000000000003</v>
      </c>
      <c r="AW63" s="10">
        <v>12.9465</v>
      </c>
      <c r="AX63" s="10">
        <v>17.882200000000001</v>
      </c>
      <c r="AY63" s="10">
        <v>25.988499999999998</v>
      </c>
      <c r="AZ63" s="10">
        <v>5.1958000000000002</v>
      </c>
      <c r="BA63" s="10">
        <v>7.3156999999999996</v>
      </c>
      <c r="BB63" s="10">
        <v>101.0098</v>
      </c>
      <c r="BC63" s="10">
        <v>2.2827000000000002</v>
      </c>
      <c r="BD63" s="10">
        <v>32.075499999999998</v>
      </c>
      <c r="BE63" s="10">
        <v>0.39937</v>
      </c>
      <c r="BF63" s="10">
        <v>0.16166</v>
      </c>
      <c r="BG63" s="10">
        <v>27.378799999999998</v>
      </c>
      <c r="BH63" s="10">
        <v>40.540300000000002</v>
      </c>
      <c r="BI63" s="10">
        <v>246.6429</v>
      </c>
      <c r="BJ63" s="10">
        <v>6.2073</v>
      </c>
      <c r="BK63" s="10">
        <v>5.6337999999999999</v>
      </c>
      <c r="BL63" s="10">
        <v>0.72723000000000004</v>
      </c>
      <c r="BM63" s="10">
        <v>13.888400000000001</v>
      </c>
      <c r="BN63" s="10">
        <v>16.255099999999999</v>
      </c>
      <c r="BO63" s="10">
        <v>0.71499999999999997</v>
      </c>
      <c r="BP63" s="11"/>
      <c r="BQ63" s="10">
        <v>2.2570999999999999</v>
      </c>
      <c r="BR63" s="10">
        <v>41.6526</v>
      </c>
      <c r="BS63" s="10">
        <v>323.74709999999999</v>
      </c>
      <c r="BT63" s="11"/>
      <c r="BU63" s="10">
        <v>0.83167999999999997</v>
      </c>
      <c r="BV63" s="10">
        <v>4.7049000000000003</v>
      </c>
      <c r="BW63" s="10">
        <v>0.58570999999999995</v>
      </c>
      <c r="BX63" s="10">
        <v>10.2867</v>
      </c>
      <c r="BY63" s="10">
        <v>701.95510000000002</v>
      </c>
      <c r="BZ63" s="10">
        <v>14.959899999999999</v>
      </c>
      <c r="CA63" s="11"/>
      <c r="CB63" s="10">
        <v>67.183999999999997</v>
      </c>
      <c r="CC63" s="10">
        <v>0.51866000000000001</v>
      </c>
      <c r="CD63" s="10">
        <v>0.28794999999999998</v>
      </c>
      <c r="CE63" s="11"/>
      <c r="CF63" s="10">
        <v>20.513400000000001</v>
      </c>
      <c r="CG63" s="10">
        <v>3.1534</v>
      </c>
      <c r="CH63" s="10">
        <v>0.32096000000000002</v>
      </c>
      <c r="CI63" s="10">
        <v>2.3904000000000001</v>
      </c>
      <c r="CJ63" s="10">
        <v>3.2808999999999999</v>
      </c>
      <c r="CK63" s="10">
        <v>10.9284</v>
      </c>
      <c r="CL63" s="10">
        <v>41.5364</v>
      </c>
      <c r="CM63" s="10">
        <v>49.100999999999999</v>
      </c>
      <c r="CN63" s="10">
        <v>3.3216999999999999</v>
      </c>
      <c r="CO63" s="10">
        <v>2616.4488000000001</v>
      </c>
      <c r="CP63" s="10">
        <v>617.51260000000002</v>
      </c>
      <c r="CQ63" s="10">
        <v>779.52650000000006</v>
      </c>
      <c r="CR63" s="10">
        <v>221.38390000000001</v>
      </c>
      <c r="CS63" s="10">
        <v>37.117699999999999</v>
      </c>
      <c r="CT63" s="10">
        <v>64.1721</v>
      </c>
      <c r="CU63" s="10">
        <v>337.08620000000002</v>
      </c>
      <c r="CV63" s="10">
        <v>8.0142000000000007</v>
      </c>
      <c r="CW63" s="10">
        <v>1106.6643999999999</v>
      </c>
      <c r="CX63" s="10">
        <v>26.0716</v>
      </c>
      <c r="CY63" s="10">
        <v>313.7978</v>
      </c>
      <c r="CZ63" s="10">
        <v>17.315300000000001</v>
      </c>
      <c r="DA63" s="10">
        <v>7.3383000000000004E-2</v>
      </c>
      <c r="DB63" s="10">
        <v>9.7414000000000005</v>
      </c>
      <c r="DC63" s="10">
        <v>107.532</v>
      </c>
      <c r="DD63" s="10">
        <v>11.4826</v>
      </c>
      <c r="DE63" s="10">
        <v>32.814799999999998</v>
      </c>
      <c r="DF63" s="10">
        <v>8.2622999999999998</v>
      </c>
      <c r="DG63" s="10">
        <v>28.202100000000002</v>
      </c>
      <c r="DH63" s="10">
        <v>2.2231999999999998</v>
      </c>
      <c r="DI63" s="10">
        <v>1.3217000000000001</v>
      </c>
      <c r="DJ63" s="10">
        <v>46.427799999999998</v>
      </c>
      <c r="DK63" s="10">
        <v>0.14580000000000001</v>
      </c>
      <c r="DL63" s="10">
        <v>13.4834</v>
      </c>
      <c r="DM63" s="10">
        <v>9.7849000000000004</v>
      </c>
      <c r="DN63" s="10">
        <v>2.0647000000000002</v>
      </c>
      <c r="DO63" s="10">
        <v>4.0148000000000001</v>
      </c>
      <c r="DP63" s="10">
        <v>1.4662999999999999</v>
      </c>
      <c r="DQ63" s="10">
        <v>250.09469999999999</v>
      </c>
      <c r="DR63" s="10">
        <v>1.6674</v>
      </c>
      <c r="DS63" s="10">
        <v>3.3944000000000001</v>
      </c>
      <c r="DT63" s="10">
        <v>1.5538000000000001</v>
      </c>
      <c r="DU63" s="10">
        <v>0.16306999999999999</v>
      </c>
      <c r="DV63" s="11"/>
      <c r="DW63" s="10">
        <v>4.0922000000000001</v>
      </c>
      <c r="DX63" s="10">
        <v>4.6867999999999999</v>
      </c>
      <c r="DY63" s="10">
        <v>438.49759999999998</v>
      </c>
      <c r="DZ63" s="10">
        <v>0.159</v>
      </c>
      <c r="EA63" s="10">
        <v>5.9577999999999998</v>
      </c>
      <c r="EB63" s="10">
        <v>65.5137</v>
      </c>
      <c r="EC63" s="10">
        <v>2.4613999999999998</v>
      </c>
      <c r="ED63" s="10">
        <v>2.9392999999999999E-2</v>
      </c>
      <c r="EE63" s="10">
        <v>71.928899999999999</v>
      </c>
      <c r="EF63" s="10">
        <v>8.7058</v>
      </c>
      <c r="EG63" s="10">
        <v>26.2316</v>
      </c>
      <c r="EH63" s="10">
        <v>4.1680000000000001</v>
      </c>
      <c r="EI63" s="10">
        <v>5.2998999999999998E-2</v>
      </c>
      <c r="EJ63" s="10">
        <v>13.913500000000001</v>
      </c>
      <c r="EK63" s="10">
        <v>154.82660000000001</v>
      </c>
      <c r="EL63" s="10">
        <v>8.4515999999999991</v>
      </c>
      <c r="EM63" s="10">
        <v>36.540999999999997</v>
      </c>
      <c r="EN63" s="10">
        <v>5.5486000000000004</v>
      </c>
      <c r="EO63" s="10">
        <v>2.1353</v>
      </c>
      <c r="EP63" s="10">
        <v>140.0265</v>
      </c>
      <c r="EQ63" s="10">
        <v>8.1536999999999998E-3</v>
      </c>
      <c r="ER63" s="10">
        <v>38.7622</v>
      </c>
      <c r="ES63" s="10">
        <v>8.0413999999999994</v>
      </c>
      <c r="ET63" s="10">
        <v>42.440800000000003</v>
      </c>
      <c r="EU63" s="10">
        <v>3.3031999999999999</v>
      </c>
      <c r="EV63" s="10">
        <v>71.684600000000003</v>
      </c>
      <c r="EW63" s="10">
        <v>248.84389999999999</v>
      </c>
      <c r="EX63" s="10">
        <v>0.25684000000000001</v>
      </c>
      <c r="EY63" s="10">
        <v>12.5031</v>
      </c>
      <c r="EZ63" s="10">
        <v>7.0869</v>
      </c>
      <c r="FA63" s="10">
        <v>8.2722999999999995</v>
      </c>
      <c r="FB63" s="10">
        <v>54.533200000000001</v>
      </c>
      <c r="FC63" s="10">
        <v>144.2628</v>
      </c>
      <c r="FD63" s="10">
        <v>322.62650000000002</v>
      </c>
      <c r="FE63" s="10">
        <v>48.597799999999999</v>
      </c>
      <c r="FF63" s="10">
        <v>109.3447</v>
      </c>
      <c r="FG63" s="10">
        <v>1.5849</v>
      </c>
      <c r="FH63" s="11"/>
      <c r="FI63" s="10">
        <v>75.084100000000007</v>
      </c>
      <c r="FJ63" s="10">
        <v>1678.3668</v>
      </c>
      <c r="FK63" s="10">
        <v>1.1109</v>
      </c>
      <c r="FL63" s="10">
        <v>1.1023E-2</v>
      </c>
      <c r="FM63" s="10">
        <v>0.24249999999999999</v>
      </c>
      <c r="FN63" s="10">
        <v>0.35271999999999998</v>
      </c>
      <c r="FO63" s="10">
        <v>7.7158000000000004E-2</v>
      </c>
      <c r="FP63" s="10">
        <v>0.25718999999999997</v>
      </c>
      <c r="FQ63" s="10">
        <v>0.28538000000000002</v>
      </c>
      <c r="FR63" s="10">
        <v>0.12914</v>
      </c>
      <c r="FS63" s="10">
        <v>582.14959999999996</v>
      </c>
      <c r="FT63" s="10">
        <v>9.8226999999999993</v>
      </c>
      <c r="FU63" s="10">
        <v>54.666699999999999</v>
      </c>
      <c r="FV63" s="10">
        <v>0.62304999999999999</v>
      </c>
      <c r="FW63" s="10">
        <v>1.0270999999999999</v>
      </c>
      <c r="FX63" s="10">
        <v>38.944800000000001</v>
      </c>
      <c r="FY63" s="10">
        <v>33.314799999999998</v>
      </c>
      <c r="FZ63" s="10">
        <v>13.696400000000001</v>
      </c>
      <c r="GA63" s="10">
        <v>0.31798999999999999</v>
      </c>
      <c r="GB63" s="10">
        <v>0.67757000000000001</v>
      </c>
      <c r="GC63" s="10">
        <v>478.60809999999998</v>
      </c>
      <c r="GD63" s="10">
        <v>611.26319999999998</v>
      </c>
      <c r="GE63" s="10">
        <v>252.6832</v>
      </c>
      <c r="GF63" s="10">
        <v>24.841200000000001</v>
      </c>
      <c r="GG63" s="10">
        <v>22.980699999999999</v>
      </c>
      <c r="GH63" s="10">
        <v>2.6059999999999999</v>
      </c>
      <c r="GI63" s="10">
        <v>0.97384999999999999</v>
      </c>
      <c r="GJ63" s="10">
        <v>42.766599999999997</v>
      </c>
      <c r="GK63" s="10">
        <v>37.6815</v>
      </c>
      <c r="GL63" s="10">
        <v>26.960699999999999</v>
      </c>
      <c r="GM63" s="10">
        <v>262.63929999999999</v>
      </c>
      <c r="GN63" s="10">
        <v>8.9799000000000007</v>
      </c>
      <c r="GO63" s="10">
        <v>11.626300000000001</v>
      </c>
      <c r="GP63" s="10">
        <v>288.27969999999999</v>
      </c>
      <c r="GQ63" s="10">
        <v>0.55445</v>
      </c>
      <c r="GR63" s="10">
        <v>3.2614000000000001</v>
      </c>
      <c r="GS63" s="10">
        <v>0.17530000000000001</v>
      </c>
      <c r="GT63" s="10">
        <v>37.863900000000001</v>
      </c>
      <c r="GU63" s="10">
        <v>31.012899999999998</v>
      </c>
      <c r="GV63" s="10">
        <v>405.12639999999999</v>
      </c>
      <c r="GW63" s="10">
        <v>85.646500000000003</v>
      </c>
      <c r="GX63" s="10">
        <v>0.23147000000000001</v>
      </c>
      <c r="GY63" s="10">
        <v>1.2231000000000001E-2</v>
      </c>
      <c r="GZ63" s="10">
        <v>5.5312999999999999</v>
      </c>
      <c r="HA63" s="10">
        <v>223.2294</v>
      </c>
      <c r="HB63" s="10">
        <v>190.6831</v>
      </c>
      <c r="HC63" s="10">
        <v>369.8784</v>
      </c>
      <c r="HD63" s="10">
        <v>5284.6967000000004</v>
      </c>
      <c r="HE63" s="10">
        <v>6.3780999999999999</v>
      </c>
      <c r="HF63" s="10">
        <v>110.246</v>
      </c>
      <c r="HG63" s="10">
        <v>0.15492</v>
      </c>
      <c r="HH63" s="10">
        <v>116.6878</v>
      </c>
      <c r="HI63" s="10">
        <v>247.7089</v>
      </c>
      <c r="HJ63" s="10">
        <v>2.8538000000000001E-2</v>
      </c>
      <c r="HK63" s="11"/>
      <c r="HL63" s="10">
        <v>10.255000000000001</v>
      </c>
      <c r="HM63" s="10">
        <v>6.7205000000000004</v>
      </c>
      <c r="HN63" s="10">
        <v>10.3743</v>
      </c>
      <c r="HO63" s="10">
        <f t="shared" si="3"/>
        <v>35172.943928699991</v>
      </c>
      <c r="HP63" s="10">
        <f t="shared" si="4"/>
        <v>35.172943928699993</v>
      </c>
      <c r="HQ63" s="10">
        <f t="shared" si="5"/>
        <v>9.5917490942732471</v>
      </c>
      <c r="HR63" s="11"/>
      <c r="HS63" s="12">
        <v>11.27631</v>
      </c>
      <c r="HT63" s="12">
        <f t="shared" si="6"/>
        <v>0.14938937522352203</v>
      </c>
      <c r="HU63" s="12"/>
      <c r="HV63" s="13"/>
      <c r="HW63" s="13"/>
    </row>
    <row r="64" spans="1:231" ht="19.95" customHeight="1">
      <c r="A64" s="14"/>
      <c r="B64" s="15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</row>
    <row r="65" spans="1:231" ht="19.95" customHeight="1">
      <c r="A65" s="16"/>
      <c r="B65" s="15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</row>
    <row r="66" spans="1:231" ht="163.95" customHeight="1">
      <c r="A66" s="16"/>
      <c r="B66" s="17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</row>
  </sheetData>
  <mergeCells count="1">
    <mergeCell ref="A1:HW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1 - export_20210427_1250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Rickels, Wilfried</dc:creator>
  <cp:lastModifiedBy>Rickels, Wilfried</cp:lastModifiedBy>
  <dcterms:created xsi:type="dcterms:W3CDTF">2021-10-18T13:10:42Z</dcterms:created>
  <dcterms:modified xsi:type="dcterms:W3CDTF">2021-10-19T05:56:31Z</dcterms:modified>
</cp:coreProperties>
</file>