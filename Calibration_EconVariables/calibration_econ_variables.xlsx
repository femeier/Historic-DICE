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els\Dropbox\Historic_DICE_Dropbox\"/>
    </mc:Choice>
  </mc:AlternateContent>
  <xr:revisionPtr revIDLastSave="0" documentId="13_ncr:1_{98E26D5C-313C-47C3-8AB2-3663E43067D5}" xr6:coauthVersionLast="36" xr6:coauthVersionMax="36" xr10:uidLastSave="{00000000-0000-0000-0000-000000000000}"/>
  <bookViews>
    <workbookView xWindow="240" yWindow="132" windowWidth="20112" windowHeight="6972" xr2:uid="{00000000-000D-0000-FFFF-FFFF00000000}"/>
  </bookViews>
  <sheets>
    <sheet name="Nordhaus" sheetId="3" r:id="rId1"/>
    <sheet name="Howard_Sterner" sheetId="2" r:id="rId2"/>
    <sheet name="Weitzman" sheetId="5" r:id="rId3"/>
  </sheets>
  <calcPr calcId="191029"/>
</workbook>
</file>

<file path=xl/calcChain.xml><?xml version="1.0" encoding="utf-8"?>
<calcChain xmlns="http://schemas.openxmlformats.org/spreadsheetml/2006/main">
  <c r="AC3" i="3" l="1"/>
  <c r="AC6" i="3"/>
  <c r="AC4" i="3"/>
  <c r="AB6" i="3"/>
  <c r="AB5" i="3"/>
  <c r="AB4" i="3"/>
  <c r="AA4" i="3"/>
  <c r="R77" i="5" l="1"/>
  <c r="Q77" i="5"/>
  <c r="Q76" i="5"/>
  <c r="Q75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4" i="5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4" i="2"/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4" i="3"/>
  <c r="W73" i="3" l="1"/>
  <c r="X73" i="3" s="1"/>
  <c r="V4" i="5" l="1"/>
  <c r="V5" i="5"/>
  <c r="V6" i="5"/>
  <c r="V7" i="5"/>
  <c r="V8" i="5"/>
  <c r="V9" i="5"/>
  <c r="V10" i="5"/>
  <c r="V11" i="5"/>
  <c r="W11" i="5" s="1"/>
  <c r="V12" i="5"/>
  <c r="V13" i="5"/>
  <c r="S6" i="5"/>
  <c r="S10" i="5"/>
  <c r="N4" i="5"/>
  <c r="Q4" i="5" s="1"/>
  <c r="N11" i="5"/>
  <c r="Q11" i="5" s="1"/>
  <c r="N12" i="5"/>
  <c r="Q12" i="5" s="1"/>
  <c r="M6" i="5"/>
  <c r="M10" i="5"/>
  <c r="L4" i="5"/>
  <c r="M4" i="5" s="1"/>
  <c r="L5" i="5"/>
  <c r="N5" i="5" s="1"/>
  <c r="Q5" i="5" s="1"/>
  <c r="L6" i="5"/>
  <c r="N6" i="5" s="1"/>
  <c r="Q6" i="5" s="1"/>
  <c r="L7" i="5"/>
  <c r="N7" i="5" s="1"/>
  <c r="Q7" i="5" s="1"/>
  <c r="L8" i="5"/>
  <c r="N8" i="5" s="1"/>
  <c r="Q8" i="5" s="1"/>
  <c r="L9" i="5"/>
  <c r="N9" i="5" s="1"/>
  <c r="Q9" i="5" s="1"/>
  <c r="L10" i="5"/>
  <c r="N10" i="5" s="1"/>
  <c r="Q10" i="5" s="1"/>
  <c r="L11" i="5"/>
  <c r="M11" i="5" s="1"/>
  <c r="L12" i="5"/>
  <c r="M12" i="5" s="1"/>
  <c r="L13" i="5"/>
  <c r="N13" i="5" s="1"/>
  <c r="Q13" i="5" s="1"/>
  <c r="G13" i="5"/>
  <c r="S13" i="5" s="1"/>
  <c r="G12" i="5"/>
  <c r="S12" i="5" s="1"/>
  <c r="G11" i="5"/>
  <c r="S11" i="5" s="1"/>
  <c r="G10" i="5"/>
  <c r="G9" i="5"/>
  <c r="S9" i="5" s="1"/>
  <c r="G8" i="5"/>
  <c r="S8" i="5" s="1"/>
  <c r="G7" i="5"/>
  <c r="S7" i="5" s="1"/>
  <c r="G6" i="5"/>
  <c r="G5" i="5"/>
  <c r="S5" i="5" s="1"/>
  <c r="G4" i="5"/>
  <c r="S4" i="5" s="1"/>
  <c r="E7" i="5"/>
  <c r="D4" i="5"/>
  <c r="E4" i="5" s="1"/>
  <c r="D5" i="5"/>
  <c r="E5" i="5" s="1"/>
  <c r="D6" i="5"/>
  <c r="E6" i="5" s="1"/>
  <c r="D7" i="5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U4" i="2"/>
  <c r="U5" i="2"/>
  <c r="U6" i="2"/>
  <c r="U7" i="2"/>
  <c r="V7" i="2" s="1"/>
  <c r="U8" i="2"/>
  <c r="U9" i="2"/>
  <c r="U10" i="2"/>
  <c r="U11" i="2"/>
  <c r="V11" i="2" s="1"/>
  <c r="U12" i="2"/>
  <c r="U13" i="2"/>
  <c r="R5" i="2"/>
  <c r="R10" i="2"/>
  <c r="R11" i="2"/>
  <c r="R13" i="2"/>
  <c r="M5" i="2"/>
  <c r="P5" i="2" s="1"/>
  <c r="M6" i="2"/>
  <c r="P6" i="2" s="1"/>
  <c r="M9" i="2"/>
  <c r="P9" i="2" s="1"/>
  <c r="M13" i="2"/>
  <c r="P13" i="2" s="1"/>
  <c r="L4" i="2"/>
  <c r="M4" i="2" s="1"/>
  <c r="P4" i="2" s="1"/>
  <c r="L5" i="2"/>
  <c r="L6" i="2"/>
  <c r="L7" i="2"/>
  <c r="M7" i="2" s="1"/>
  <c r="P7" i="2" s="1"/>
  <c r="L8" i="2"/>
  <c r="M8" i="2" s="1"/>
  <c r="P8" i="2" s="1"/>
  <c r="L9" i="2"/>
  <c r="L10" i="2"/>
  <c r="M10" i="2" s="1"/>
  <c r="P10" i="2" s="1"/>
  <c r="L11" i="2"/>
  <c r="M11" i="2" s="1"/>
  <c r="P11" i="2" s="1"/>
  <c r="L12" i="2"/>
  <c r="M12" i="2" s="1"/>
  <c r="P12" i="2" s="1"/>
  <c r="L13" i="2"/>
  <c r="G13" i="2"/>
  <c r="G12" i="2"/>
  <c r="R12" i="2" s="1"/>
  <c r="G11" i="2"/>
  <c r="G10" i="2"/>
  <c r="G9" i="2"/>
  <c r="R9" i="2" s="1"/>
  <c r="G8" i="2"/>
  <c r="R8" i="2" s="1"/>
  <c r="G7" i="2"/>
  <c r="R7" i="2" s="1"/>
  <c r="G6" i="2"/>
  <c r="R6" i="2" s="1"/>
  <c r="G5" i="2"/>
  <c r="G4" i="2"/>
  <c r="R4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U4" i="3"/>
  <c r="U5" i="3"/>
  <c r="U6" i="3"/>
  <c r="U7" i="3"/>
  <c r="U8" i="3"/>
  <c r="U9" i="3"/>
  <c r="U10" i="3"/>
  <c r="U11" i="3"/>
  <c r="U12" i="3"/>
  <c r="U13" i="3"/>
  <c r="R6" i="3"/>
  <c r="R7" i="3"/>
  <c r="R10" i="3"/>
  <c r="G4" i="3"/>
  <c r="R4" i="3" s="1"/>
  <c r="G5" i="3"/>
  <c r="R5" i="3" s="1"/>
  <c r="G6" i="3"/>
  <c r="G7" i="3"/>
  <c r="G8" i="3"/>
  <c r="R8" i="3" s="1"/>
  <c r="G9" i="3"/>
  <c r="R9" i="3" s="1"/>
  <c r="G10" i="3"/>
  <c r="G11" i="3"/>
  <c r="R11" i="3" s="1"/>
  <c r="G12" i="3"/>
  <c r="R12" i="3" s="1"/>
  <c r="G13" i="3"/>
  <c r="R13" i="3" s="1"/>
  <c r="R9" i="5" l="1"/>
  <c r="T9" i="5"/>
  <c r="W10" i="5"/>
  <c r="S7" i="2"/>
  <c r="Q7" i="2"/>
  <c r="T8" i="5"/>
  <c r="W8" i="5"/>
  <c r="R8" i="5"/>
  <c r="R11" i="5"/>
  <c r="T11" i="5"/>
  <c r="W9" i="5"/>
  <c r="R10" i="5"/>
  <c r="T10" i="5"/>
  <c r="W12" i="5"/>
  <c r="R12" i="5"/>
  <c r="T12" i="5"/>
  <c r="V8" i="2"/>
  <c r="T7" i="5"/>
  <c r="R7" i="5"/>
  <c r="W7" i="5"/>
  <c r="W4" i="5"/>
  <c r="R4" i="5"/>
  <c r="T4" i="5"/>
  <c r="V5" i="2"/>
  <c r="Q5" i="2"/>
  <c r="S5" i="2"/>
  <c r="T13" i="5"/>
  <c r="R13" i="5"/>
  <c r="T5" i="5"/>
  <c r="R5" i="5"/>
  <c r="W6" i="5"/>
  <c r="S6" i="2"/>
  <c r="Q6" i="2"/>
  <c r="T6" i="5"/>
  <c r="R6" i="5"/>
  <c r="Q4" i="2"/>
  <c r="S4" i="2"/>
  <c r="Q11" i="2"/>
  <c r="S11" i="2"/>
  <c r="V13" i="2"/>
  <c r="Q13" i="2"/>
  <c r="S13" i="2"/>
  <c r="W13" i="5"/>
  <c r="W5" i="5"/>
  <c r="S8" i="2"/>
  <c r="Q8" i="2"/>
  <c r="Q12" i="2"/>
  <c r="S12" i="2"/>
  <c r="V6" i="2"/>
  <c r="V10" i="2"/>
  <c r="Q10" i="2"/>
  <c r="S10" i="2"/>
  <c r="S9" i="2"/>
  <c r="V9" i="2"/>
  <c r="Q9" i="2"/>
  <c r="V12" i="2"/>
  <c r="V4" i="2"/>
  <c r="M8" i="5"/>
  <c r="M9" i="5"/>
  <c r="M7" i="5"/>
  <c r="M13" i="5"/>
  <c r="M5" i="5"/>
  <c r="L4" i="3" l="1"/>
  <c r="M4" i="3" s="1"/>
  <c r="P4" i="3" s="1"/>
  <c r="L5" i="3"/>
  <c r="M5" i="3" s="1"/>
  <c r="P5" i="3" s="1"/>
  <c r="L6" i="3"/>
  <c r="M6" i="3" s="1"/>
  <c r="P6" i="3" s="1"/>
  <c r="L7" i="3"/>
  <c r="M7" i="3" s="1"/>
  <c r="P7" i="3" s="1"/>
  <c r="L8" i="3"/>
  <c r="M8" i="3" s="1"/>
  <c r="P8" i="3" s="1"/>
  <c r="L9" i="3"/>
  <c r="M9" i="3" s="1"/>
  <c r="P9" i="3" s="1"/>
  <c r="L10" i="3"/>
  <c r="M10" i="3" s="1"/>
  <c r="P10" i="3" s="1"/>
  <c r="L11" i="3"/>
  <c r="M11" i="3" s="1"/>
  <c r="P11" i="3" s="1"/>
  <c r="L12" i="3"/>
  <c r="M12" i="3" s="1"/>
  <c r="P12" i="3" s="1"/>
  <c r="L13" i="3"/>
  <c r="M13" i="3" s="1"/>
  <c r="P13" i="3" s="1"/>
  <c r="Q11" i="3" l="1"/>
  <c r="S11" i="3"/>
  <c r="V11" i="3"/>
  <c r="S9" i="3"/>
  <c r="Q9" i="3"/>
  <c r="V9" i="3"/>
  <c r="V8" i="3"/>
  <c r="S8" i="3"/>
  <c r="Q8" i="3"/>
  <c r="Q6" i="3"/>
  <c r="S6" i="3"/>
  <c r="V6" i="3"/>
  <c r="S10" i="3"/>
  <c r="Q10" i="3"/>
  <c r="V10" i="3"/>
  <c r="V13" i="3"/>
  <c r="Q13" i="3"/>
  <c r="S13" i="3"/>
  <c r="V5" i="3"/>
  <c r="Q5" i="3"/>
  <c r="S5" i="3"/>
  <c r="Q7" i="3"/>
  <c r="S7" i="3"/>
  <c r="V7" i="3"/>
  <c r="Q12" i="3"/>
  <c r="S12" i="3"/>
  <c r="V12" i="3"/>
  <c r="Q4" i="3"/>
  <c r="S4" i="3"/>
  <c r="V4" i="3"/>
  <c r="D4" i="3"/>
  <c r="D5" i="3"/>
  <c r="D6" i="3"/>
  <c r="D7" i="3"/>
  <c r="D8" i="3"/>
  <c r="D9" i="3"/>
  <c r="D10" i="3"/>
  <c r="D11" i="3"/>
  <c r="D12" i="3"/>
  <c r="D13" i="3"/>
  <c r="E5" i="3" l="1"/>
  <c r="W5" i="3"/>
  <c r="X5" i="3" s="1"/>
  <c r="E4" i="3"/>
  <c r="W4" i="3"/>
  <c r="X4" i="3" s="1"/>
  <c r="E11" i="3"/>
  <c r="W11" i="3"/>
  <c r="X11" i="3" s="1"/>
  <c r="E10" i="3"/>
  <c r="W10" i="3"/>
  <c r="X10" i="3" s="1"/>
  <c r="E7" i="3"/>
  <c r="W7" i="3"/>
  <c r="X7" i="3" s="1"/>
  <c r="E13" i="3"/>
  <c r="W13" i="3"/>
  <c r="X13" i="3" s="1"/>
  <c r="E12" i="3"/>
  <c r="W12" i="3"/>
  <c r="X12" i="3" s="1"/>
  <c r="E9" i="3"/>
  <c r="W9" i="3"/>
  <c r="X9" i="3" s="1"/>
  <c r="E8" i="3"/>
  <c r="W8" i="3"/>
  <c r="X8" i="3" s="1"/>
  <c r="E6" i="3"/>
  <c r="W6" i="3"/>
  <c r="X6" i="3" s="1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14" i="5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14" i="3"/>
  <c r="S73" i="5" l="1"/>
  <c r="L73" i="5"/>
  <c r="N73" i="5" s="1"/>
  <c r="Q73" i="5" s="1"/>
  <c r="S72" i="5"/>
  <c r="L72" i="5"/>
  <c r="M72" i="5" s="1"/>
  <c r="D72" i="5"/>
  <c r="E72" i="5" s="1"/>
  <c r="S71" i="5"/>
  <c r="L71" i="5"/>
  <c r="N71" i="5" s="1"/>
  <c r="Q71" i="5" s="1"/>
  <c r="W71" i="5" s="1"/>
  <c r="D71" i="5"/>
  <c r="E71" i="5" s="1"/>
  <c r="S70" i="5"/>
  <c r="L70" i="5"/>
  <c r="N70" i="5" s="1"/>
  <c r="Q70" i="5" s="1"/>
  <c r="W70" i="5" s="1"/>
  <c r="D70" i="5"/>
  <c r="E70" i="5" s="1"/>
  <c r="S69" i="5"/>
  <c r="L69" i="5"/>
  <c r="M69" i="5" s="1"/>
  <c r="D69" i="5"/>
  <c r="E69" i="5" s="1"/>
  <c r="S68" i="5"/>
  <c r="L68" i="5"/>
  <c r="M68" i="5" s="1"/>
  <c r="D68" i="5"/>
  <c r="E68" i="5" s="1"/>
  <c r="S67" i="5"/>
  <c r="L67" i="5"/>
  <c r="M67" i="5" s="1"/>
  <c r="D67" i="5"/>
  <c r="E67" i="5" s="1"/>
  <c r="S66" i="5"/>
  <c r="L66" i="5"/>
  <c r="M66" i="5" s="1"/>
  <c r="D66" i="5"/>
  <c r="E66" i="5" s="1"/>
  <c r="S65" i="5"/>
  <c r="L65" i="5"/>
  <c r="N65" i="5" s="1"/>
  <c r="Q65" i="5" s="1"/>
  <c r="W65" i="5" s="1"/>
  <c r="D65" i="5"/>
  <c r="E65" i="5" s="1"/>
  <c r="S64" i="5"/>
  <c r="L64" i="5"/>
  <c r="M64" i="5" s="1"/>
  <c r="D64" i="5"/>
  <c r="E64" i="5" s="1"/>
  <c r="S63" i="5"/>
  <c r="L63" i="5"/>
  <c r="N63" i="5" s="1"/>
  <c r="Q63" i="5" s="1"/>
  <c r="W63" i="5" s="1"/>
  <c r="D63" i="5"/>
  <c r="E63" i="5" s="1"/>
  <c r="S62" i="5"/>
  <c r="L62" i="5"/>
  <c r="N62" i="5" s="1"/>
  <c r="Q62" i="5" s="1"/>
  <c r="W62" i="5" s="1"/>
  <c r="D62" i="5"/>
  <c r="E62" i="5" s="1"/>
  <c r="S61" i="5"/>
  <c r="L61" i="5"/>
  <c r="M61" i="5" s="1"/>
  <c r="D61" i="5"/>
  <c r="E61" i="5" s="1"/>
  <c r="S60" i="5"/>
  <c r="L60" i="5"/>
  <c r="N60" i="5" s="1"/>
  <c r="Q60" i="5" s="1"/>
  <c r="W60" i="5" s="1"/>
  <c r="D60" i="5"/>
  <c r="E60" i="5" s="1"/>
  <c r="S59" i="5"/>
  <c r="L59" i="5"/>
  <c r="M59" i="5" s="1"/>
  <c r="D59" i="5"/>
  <c r="E59" i="5" s="1"/>
  <c r="S58" i="5"/>
  <c r="L58" i="5"/>
  <c r="M58" i="5" s="1"/>
  <c r="D58" i="5"/>
  <c r="E58" i="5" s="1"/>
  <c r="S57" i="5"/>
  <c r="L57" i="5"/>
  <c r="N57" i="5" s="1"/>
  <c r="Q57" i="5" s="1"/>
  <c r="W57" i="5" s="1"/>
  <c r="D57" i="5"/>
  <c r="E57" i="5" s="1"/>
  <c r="S56" i="5"/>
  <c r="L56" i="5"/>
  <c r="M56" i="5" s="1"/>
  <c r="D56" i="5"/>
  <c r="E56" i="5" s="1"/>
  <c r="S55" i="5"/>
  <c r="L55" i="5"/>
  <c r="N55" i="5" s="1"/>
  <c r="Q55" i="5" s="1"/>
  <c r="W55" i="5" s="1"/>
  <c r="D55" i="5"/>
  <c r="E55" i="5" s="1"/>
  <c r="S54" i="5"/>
  <c r="L54" i="5"/>
  <c r="N54" i="5" s="1"/>
  <c r="Q54" i="5" s="1"/>
  <c r="W54" i="5" s="1"/>
  <c r="D54" i="5"/>
  <c r="E54" i="5" s="1"/>
  <c r="S53" i="5"/>
  <c r="L53" i="5"/>
  <c r="M53" i="5" s="1"/>
  <c r="D53" i="5"/>
  <c r="E53" i="5" s="1"/>
  <c r="S52" i="5"/>
  <c r="L52" i="5"/>
  <c r="N52" i="5" s="1"/>
  <c r="Q52" i="5" s="1"/>
  <c r="W52" i="5" s="1"/>
  <c r="D52" i="5"/>
  <c r="E52" i="5" s="1"/>
  <c r="S51" i="5"/>
  <c r="L51" i="5"/>
  <c r="M51" i="5" s="1"/>
  <c r="D51" i="5"/>
  <c r="E51" i="5" s="1"/>
  <c r="S50" i="5"/>
  <c r="L50" i="5"/>
  <c r="M50" i="5" s="1"/>
  <c r="D50" i="5"/>
  <c r="E50" i="5" s="1"/>
  <c r="S49" i="5"/>
  <c r="L49" i="5"/>
  <c r="N49" i="5" s="1"/>
  <c r="Q49" i="5" s="1"/>
  <c r="W49" i="5" s="1"/>
  <c r="D49" i="5"/>
  <c r="E49" i="5" s="1"/>
  <c r="S48" i="5"/>
  <c r="L48" i="5"/>
  <c r="M48" i="5" s="1"/>
  <c r="D48" i="5"/>
  <c r="E48" i="5" s="1"/>
  <c r="S47" i="5"/>
  <c r="L47" i="5"/>
  <c r="M47" i="5" s="1"/>
  <c r="D47" i="5"/>
  <c r="E47" i="5" s="1"/>
  <c r="S46" i="5"/>
  <c r="L46" i="5"/>
  <c r="N46" i="5" s="1"/>
  <c r="Q46" i="5" s="1"/>
  <c r="W46" i="5" s="1"/>
  <c r="D46" i="5"/>
  <c r="E46" i="5" s="1"/>
  <c r="S45" i="5"/>
  <c r="L45" i="5"/>
  <c r="M45" i="5" s="1"/>
  <c r="D45" i="5"/>
  <c r="E45" i="5" s="1"/>
  <c r="S44" i="5"/>
  <c r="L44" i="5"/>
  <c r="N44" i="5" s="1"/>
  <c r="Q44" i="5" s="1"/>
  <c r="W44" i="5" s="1"/>
  <c r="D44" i="5"/>
  <c r="E44" i="5" s="1"/>
  <c r="S43" i="5"/>
  <c r="L43" i="5"/>
  <c r="M43" i="5" s="1"/>
  <c r="D43" i="5"/>
  <c r="E43" i="5" s="1"/>
  <c r="S42" i="5"/>
  <c r="L42" i="5"/>
  <c r="M42" i="5" s="1"/>
  <c r="D42" i="5"/>
  <c r="E42" i="5" s="1"/>
  <c r="S41" i="5"/>
  <c r="L41" i="5"/>
  <c r="N41" i="5" s="1"/>
  <c r="Q41" i="5" s="1"/>
  <c r="W41" i="5" s="1"/>
  <c r="D41" i="5"/>
  <c r="E41" i="5" s="1"/>
  <c r="S40" i="5"/>
  <c r="L40" i="5"/>
  <c r="M40" i="5" s="1"/>
  <c r="D40" i="5"/>
  <c r="E40" i="5" s="1"/>
  <c r="S39" i="5"/>
  <c r="L39" i="5"/>
  <c r="N39" i="5" s="1"/>
  <c r="Q39" i="5" s="1"/>
  <c r="W39" i="5" s="1"/>
  <c r="D39" i="5"/>
  <c r="E39" i="5" s="1"/>
  <c r="S38" i="5"/>
  <c r="L38" i="5"/>
  <c r="N38" i="5" s="1"/>
  <c r="Q38" i="5" s="1"/>
  <c r="W38" i="5" s="1"/>
  <c r="D38" i="5"/>
  <c r="E38" i="5" s="1"/>
  <c r="S37" i="5"/>
  <c r="L37" i="5"/>
  <c r="M37" i="5" s="1"/>
  <c r="D37" i="5"/>
  <c r="E37" i="5" s="1"/>
  <c r="S36" i="5"/>
  <c r="L36" i="5"/>
  <c r="N36" i="5" s="1"/>
  <c r="Q36" i="5" s="1"/>
  <c r="D36" i="5"/>
  <c r="E36" i="5" s="1"/>
  <c r="S35" i="5"/>
  <c r="L35" i="5"/>
  <c r="M35" i="5" s="1"/>
  <c r="D35" i="5"/>
  <c r="E35" i="5" s="1"/>
  <c r="S34" i="5"/>
  <c r="L34" i="5"/>
  <c r="M34" i="5" s="1"/>
  <c r="D34" i="5"/>
  <c r="E34" i="5" s="1"/>
  <c r="S33" i="5"/>
  <c r="L33" i="5"/>
  <c r="N33" i="5" s="1"/>
  <c r="Q33" i="5" s="1"/>
  <c r="W33" i="5" s="1"/>
  <c r="D33" i="5"/>
  <c r="E33" i="5" s="1"/>
  <c r="S32" i="5"/>
  <c r="L32" i="5"/>
  <c r="M32" i="5" s="1"/>
  <c r="D32" i="5"/>
  <c r="E32" i="5" s="1"/>
  <c r="S31" i="5"/>
  <c r="L31" i="5"/>
  <c r="N31" i="5" s="1"/>
  <c r="Q31" i="5" s="1"/>
  <c r="W31" i="5" s="1"/>
  <c r="D31" i="5"/>
  <c r="E31" i="5" s="1"/>
  <c r="S30" i="5"/>
  <c r="L30" i="5"/>
  <c r="N30" i="5" s="1"/>
  <c r="Q30" i="5" s="1"/>
  <c r="W30" i="5" s="1"/>
  <c r="D30" i="5"/>
  <c r="E30" i="5" s="1"/>
  <c r="S29" i="5"/>
  <c r="L29" i="5"/>
  <c r="M29" i="5" s="1"/>
  <c r="D29" i="5"/>
  <c r="E29" i="5" s="1"/>
  <c r="S28" i="5"/>
  <c r="L28" i="5"/>
  <c r="M28" i="5" s="1"/>
  <c r="D28" i="5"/>
  <c r="E28" i="5" s="1"/>
  <c r="S27" i="5"/>
  <c r="L27" i="5"/>
  <c r="M27" i="5" s="1"/>
  <c r="D27" i="5"/>
  <c r="E27" i="5" s="1"/>
  <c r="S26" i="5"/>
  <c r="L26" i="5"/>
  <c r="N26" i="5" s="1"/>
  <c r="Q26" i="5" s="1"/>
  <c r="W26" i="5" s="1"/>
  <c r="D26" i="5"/>
  <c r="E26" i="5" s="1"/>
  <c r="S25" i="5"/>
  <c r="L25" i="5"/>
  <c r="N25" i="5" s="1"/>
  <c r="Q25" i="5" s="1"/>
  <c r="D25" i="5"/>
  <c r="E25" i="5" s="1"/>
  <c r="S24" i="5"/>
  <c r="L24" i="5"/>
  <c r="M24" i="5" s="1"/>
  <c r="D24" i="5"/>
  <c r="E24" i="5" s="1"/>
  <c r="S23" i="5"/>
  <c r="L23" i="5"/>
  <c r="N23" i="5" s="1"/>
  <c r="Q23" i="5" s="1"/>
  <c r="W23" i="5" s="1"/>
  <c r="D23" i="5"/>
  <c r="E23" i="5" s="1"/>
  <c r="S22" i="5"/>
  <c r="L22" i="5"/>
  <c r="N22" i="5" s="1"/>
  <c r="Q22" i="5" s="1"/>
  <c r="W22" i="5" s="1"/>
  <c r="D22" i="5"/>
  <c r="E22" i="5" s="1"/>
  <c r="S21" i="5"/>
  <c r="L21" i="5"/>
  <c r="M21" i="5" s="1"/>
  <c r="D21" i="5"/>
  <c r="E21" i="5" s="1"/>
  <c r="S20" i="5"/>
  <c r="L20" i="5"/>
  <c r="M20" i="5" s="1"/>
  <c r="D20" i="5"/>
  <c r="E20" i="5" s="1"/>
  <c r="S19" i="5"/>
  <c r="L19" i="5"/>
  <c r="M19" i="5" s="1"/>
  <c r="D19" i="5"/>
  <c r="E19" i="5" s="1"/>
  <c r="S18" i="5"/>
  <c r="L18" i="5"/>
  <c r="N18" i="5" s="1"/>
  <c r="Q18" i="5" s="1"/>
  <c r="W18" i="5" s="1"/>
  <c r="D18" i="5"/>
  <c r="E18" i="5" s="1"/>
  <c r="S17" i="5"/>
  <c r="L17" i="5"/>
  <c r="N17" i="5" s="1"/>
  <c r="Q17" i="5" s="1"/>
  <c r="W17" i="5" s="1"/>
  <c r="D17" i="5"/>
  <c r="E17" i="5" s="1"/>
  <c r="S16" i="5"/>
  <c r="L16" i="5"/>
  <c r="M16" i="5" s="1"/>
  <c r="D16" i="5"/>
  <c r="E16" i="5" s="1"/>
  <c r="S15" i="5"/>
  <c r="L15" i="5"/>
  <c r="N15" i="5" s="1"/>
  <c r="Q15" i="5" s="1"/>
  <c r="W15" i="5" s="1"/>
  <c r="D15" i="5"/>
  <c r="E15" i="5" s="1"/>
  <c r="S14" i="5"/>
  <c r="L14" i="5"/>
  <c r="M14" i="5" s="1"/>
  <c r="D14" i="5"/>
  <c r="E14" i="5" s="1"/>
  <c r="R73" i="2"/>
  <c r="L73" i="2"/>
  <c r="M73" i="2" s="1"/>
  <c r="P73" i="2" s="1"/>
  <c r="V73" i="2" s="1"/>
  <c r="R72" i="2"/>
  <c r="L72" i="2"/>
  <c r="M72" i="2" s="1"/>
  <c r="P72" i="2" s="1"/>
  <c r="V72" i="2" s="1"/>
  <c r="D72" i="2"/>
  <c r="E72" i="2" s="1"/>
  <c r="R71" i="2"/>
  <c r="L71" i="2"/>
  <c r="M71" i="2" s="1"/>
  <c r="P71" i="2" s="1"/>
  <c r="V71" i="2" s="1"/>
  <c r="D71" i="2"/>
  <c r="E71" i="2" s="1"/>
  <c r="R70" i="2"/>
  <c r="L70" i="2"/>
  <c r="M70" i="2" s="1"/>
  <c r="P70" i="2" s="1"/>
  <c r="V70" i="2" s="1"/>
  <c r="D70" i="2"/>
  <c r="E70" i="2" s="1"/>
  <c r="R69" i="2"/>
  <c r="L69" i="2"/>
  <c r="M69" i="2" s="1"/>
  <c r="P69" i="2" s="1"/>
  <c r="V69" i="2" s="1"/>
  <c r="D69" i="2"/>
  <c r="E69" i="2" s="1"/>
  <c r="R68" i="2"/>
  <c r="L68" i="2"/>
  <c r="M68" i="2" s="1"/>
  <c r="P68" i="2" s="1"/>
  <c r="V68" i="2" s="1"/>
  <c r="D68" i="2"/>
  <c r="E68" i="2" s="1"/>
  <c r="R67" i="2"/>
  <c r="L67" i="2"/>
  <c r="M67" i="2" s="1"/>
  <c r="P67" i="2" s="1"/>
  <c r="V67" i="2" s="1"/>
  <c r="D67" i="2"/>
  <c r="E67" i="2" s="1"/>
  <c r="R66" i="2"/>
  <c r="L66" i="2"/>
  <c r="M66" i="2" s="1"/>
  <c r="P66" i="2" s="1"/>
  <c r="V66" i="2" s="1"/>
  <c r="D66" i="2"/>
  <c r="E66" i="2" s="1"/>
  <c r="R65" i="2"/>
  <c r="L65" i="2"/>
  <c r="M65" i="2" s="1"/>
  <c r="P65" i="2" s="1"/>
  <c r="V65" i="2" s="1"/>
  <c r="D65" i="2"/>
  <c r="E65" i="2" s="1"/>
  <c r="R64" i="2"/>
  <c r="L64" i="2"/>
  <c r="M64" i="2" s="1"/>
  <c r="P64" i="2" s="1"/>
  <c r="V64" i="2" s="1"/>
  <c r="D64" i="2"/>
  <c r="E64" i="2" s="1"/>
  <c r="R63" i="2"/>
  <c r="L63" i="2"/>
  <c r="M63" i="2" s="1"/>
  <c r="P63" i="2" s="1"/>
  <c r="V63" i="2" s="1"/>
  <c r="D63" i="2"/>
  <c r="E63" i="2" s="1"/>
  <c r="R62" i="2"/>
  <c r="L62" i="2"/>
  <c r="M62" i="2" s="1"/>
  <c r="P62" i="2" s="1"/>
  <c r="V62" i="2" s="1"/>
  <c r="D62" i="2"/>
  <c r="E62" i="2" s="1"/>
  <c r="R61" i="2"/>
  <c r="L61" i="2"/>
  <c r="M61" i="2" s="1"/>
  <c r="P61" i="2" s="1"/>
  <c r="V61" i="2" s="1"/>
  <c r="D61" i="2"/>
  <c r="E61" i="2" s="1"/>
  <c r="R60" i="2"/>
  <c r="L60" i="2"/>
  <c r="M60" i="2" s="1"/>
  <c r="P60" i="2" s="1"/>
  <c r="V60" i="2" s="1"/>
  <c r="D60" i="2"/>
  <c r="E60" i="2" s="1"/>
  <c r="R59" i="2"/>
  <c r="L59" i="2"/>
  <c r="M59" i="2" s="1"/>
  <c r="P59" i="2" s="1"/>
  <c r="V59" i="2" s="1"/>
  <c r="D59" i="2"/>
  <c r="E59" i="2" s="1"/>
  <c r="R58" i="2"/>
  <c r="L58" i="2"/>
  <c r="M58" i="2" s="1"/>
  <c r="P58" i="2" s="1"/>
  <c r="V58" i="2" s="1"/>
  <c r="D58" i="2"/>
  <c r="E58" i="2" s="1"/>
  <c r="R57" i="2"/>
  <c r="L57" i="2"/>
  <c r="M57" i="2" s="1"/>
  <c r="P57" i="2" s="1"/>
  <c r="V57" i="2" s="1"/>
  <c r="D57" i="2"/>
  <c r="E57" i="2" s="1"/>
  <c r="R56" i="2"/>
  <c r="L56" i="2"/>
  <c r="M56" i="2" s="1"/>
  <c r="P56" i="2" s="1"/>
  <c r="V56" i="2" s="1"/>
  <c r="D56" i="2"/>
  <c r="E56" i="2" s="1"/>
  <c r="R55" i="2"/>
  <c r="L55" i="2"/>
  <c r="M55" i="2" s="1"/>
  <c r="P55" i="2" s="1"/>
  <c r="V55" i="2" s="1"/>
  <c r="D55" i="2"/>
  <c r="E55" i="2" s="1"/>
  <c r="R54" i="2"/>
  <c r="L54" i="2"/>
  <c r="M54" i="2" s="1"/>
  <c r="P54" i="2" s="1"/>
  <c r="V54" i="2" s="1"/>
  <c r="D54" i="2"/>
  <c r="E54" i="2" s="1"/>
  <c r="R53" i="2"/>
  <c r="L53" i="2"/>
  <c r="M53" i="2" s="1"/>
  <c r="P53" i="2" s="1"/>
  <c r="V53" i="2" s="1"/>
  <c r="D53" i="2"/>
  <c r="E53" i="2" s="1"/>
  <c r="R52" i="2"/>
  <c r="L52" i="2"/>
  <c r="M52" i="2" s="1"/>
  <c r="P52" i="2" s="1"/>
  <c r="V52" i="2" s="1"/>
  <c r="D52" i="2"/>
  <c r="E52" i="2" s="1"/>
  <c r="R51" i="2"/>
  <c r="L51" i="2"/>
  <c r="M51" i="2" s="1"/>
  <c r="P51" i="2" s="1"/>
  <c r="V51" i="2" s="1"/>
  <c r="D51" i="2"/>
  <c r="E51" i="2" s="1"/>
  <c r="R50" i="2"/>
  <c r="L50" i="2"/>
  <c r="M50" i="2" s="1"/>
  <c r="P50" i="2" s="1"/>
  <c r="V50" i="2" s="1"/>
  <c r="D50" i="2"/>
  <c r="E50" i="2" s="1"/>
  <c r="R49" i="2"/>
  <c r="L49" i="2"/>
  <c r="M49" i="2" s="1"/>
  <c r="P49" i="2" s="1"/>
  <c r="V49" i="2" s="1"/>
  <c r="D49" i="2"/>
  <c r="E49" i="2" s="1"/>
  <c r="R48" i="2"/>
  <c r="L48" i="2"/>
  <c r="M48" i="2" s="1"/>
  <c r="P48" i="2" s="1"/>
  <c r="Q48" i="2" s="1"/>
  <c r="D48" i="2"/>
  <c r="E48" i="2" s="1"/>
  <c r="R47" i="2"/>
  <c r="L47" i="2"/>
  <c r="M47" i="2" s="1"/>
  <c r="P47" i="2" s="1"/>
  <c r="V47" i="2" s="1"/>
  <c r="D47" i="2"/>
  <c r="E47" i="2" s="1"/>
  <c r="R46" i="2"/>
  <c r="L46" i="2"/>
  <c r="M46" i="2" s="1"/>
  <c r="P46" i="2" s="1"/>
  <c r="Q46" i="2" s="1"/>
  <c r="D46" i="2"/>
  <c r="E46" i="2" s="1"/>
  <c r="R45" i="2"/>
  <c r="L45" i="2"/>
  <c r="M45" i="2" s="1"/>
  <c r="P45" i="2" s="1"/>
  <c r="V45" i="2" s="1"/>
  <c r="D45" i="2"/>
  <c r="E45" i="2" s="1"/>
  <c r="R44" i="2"/>
  <c r="L44" i="2"/>
  <c r="M44" i="2" s="1"/>
  <c r="P44" i="2" s="1"/>
  <c r="Q44" i="2" s="1"/>
  <c r="D44" i="2"/>
  <c r="E44" i="2" s="1"/>
  <c r="R43" i="2"/>
  <c r="L43" i="2"/>
  <c r="M43" i="2" s="1"/>
  <c r="P43" i="2" s="1"/>
  <c r="V43" i="2" s="1"/>
  <c r="D43" i="2"/>
  <c r="E43" i="2" s="1"/>
  <c r="R42" i="2"/>
  <c r="L42" i="2"/>
  <c r="M42" i="2" s="1"/>
  <c r="P42" i="2" s="1"/>
  <c r="Q42" i="2" s="1"/>
  <c r="D42" i="2"/>
  <c r="E42" i="2" s="1"/>
  <c r="R41" i="2"/>
  <c r="L41" i="2"/>
  <c r="M41" i="2" s="1"/>
  <c r="P41" i="2" s="1"/>
  <c r="V41" i="2" s="1"/>
  <c r="D41" i="2"/>
  <c r="E41" i="2" s="1"/>
  <c r="R40" i="2"/>
  <c r="L40" i="2"/>
  <c r="M40" i="2" s="1"/>
  <c r="P40" i="2" s="1"/>
  <c r="Q40" i="2" s="1"/>
  <c r="D40" i="2"/>
  <c r="E40" i="2" s="1"/>
  <c r="R39" i="2"/>
  <c r="L39" i="2"/>
  <c r="M39" i="2" s="1"/>
  <c r="P39" i="2" s="1"/>
  <c r="V39" i="2" s="1"/>
  <c r="D39" i="2"/>
  <c r="E39" i="2" s="1"/>
  <c r="R38" i="2"/>
  <c r="L38" i="2"/>
  <c r="M38" i="2" s="1"/>
  <c r="P38" i="2" s="1"/>
  <c r="Q38" i="2" s="1"/>
  <c r="D38" i="2"/>
  <c r="E38" i="2" s="1"/>
  <c r="R37" i="2"/>
  <c r="L37" i="2"/>
  <c r="M37" i="2" s="1"/>
  <c r="P37" i="2" s="1"/>
  <c r="V37" i="2" s="1"/>
  <c r="D37" i="2"/>
  <c r="E37" i="2" s="1"/>
  <c r="R36" i="2"/>
  <c r="L36" i="2"/>
  <c r="M36" i="2" s="1"/>
  <c r="P36" i="2" s="1"/>
  <c r="Q36" i="2" s="1"/>
  <c r="D36" i="2"/>
  <c r="E36" i="2" s="1"/>
  <c r="R35" i="2"/>
  <c r="L35" i="2"/>
  <c r="M35" i="2" s="1"/>
  <c r="P35" i="2" s="1"/>
  <c r="V35" i="2" s="1"/>
  <c r="D35" i="2"/>
  <c r="E35" i="2" s="1"/>
  <c r="R34" i="2"/>
  <c r="L34" i="2"/>
  <c r="M34" i="2" s="1"/>
  <c r="P34" i="2" s="1"/>
  <c r="D34" i="2"/>
  <c r="E34" i="2" s="1"/>
  <c r="R33" i="2"/>
  <c r="L33" i="2"/>
  <c r="M33" i="2" s="1"/>
  <c r="P33" i="2" s="1"/>
  <c r="V33" i="2" s="1"/>
  <c r="D33" i="2"/>
  <c r="E33" i="2" s="1"/>
  <c r="R32" i="2"/>
  <c r="L32" i="2"/>
  <c r="M32" i="2" s="1"/>
  <c r="P32" i="2" s="1"/>
  <c r="Q32" i="2" s="1"/>
  <c r="D32" i="2"/>
  <c r="E32" i="2" s="1"/>
  <c r="R31" i="2"/>
  <c r="L31" i="2"/>
  <c r="M31" i="2" s="1"/>
  <c r="P31" i="2" s="1"/>
  <c r="V31" i="2" s="1"/>
  <c r="D31" i="2"/>
  <c r="E31" i="2" s="1"/>
  <c r="R30" i="2"/>
  <c r="L30" i="2"/>
  <c r="M30" i="2" s="1"/>
  <c r="P30" i="2" s="1"/>
  <c r="D30" i="2"/>
  <c r="E30" i="2" s="1"/>
  <c r="R29" i="2"/>
  <c r="L29" i="2"/>
  <c r="M29" i="2" s="1"/>
  <c r="P29" i="2" s="1"/>
  <c r="V29" i="2" s="1"/>
  <c r="D29" i="2"/>
  <c r="E29" i="2" s="1"/>
  <c r="R28" i="2"/>
  <c r="L28" i="2"/>
  <c r="M28" i="2" s="1"/>
  <c r="P28" i="2" s="1"/>
  <c r="Q28" i="2" s="1"/>
  <c r="D28" i="2"/>
  <c r="E28" i="2" s="1"/>
  <c r="R27" i="2"/>
  <c r="L27" i="2"/>
  <c r="M27" i="2" s="1"/>
  <c r="P27" i="2" s="1"/>
  <c r="V27" i="2" s="1"/>
  <c r="D27" i="2"/>
  <c r="E27" i="2" s="1"/>
  <c r="R26" i="2"/>
  <c r="L26" i="2"/>
  <c r="M26" i="2" s="1"/>
  <c r="P26" i="2" s="1"/>
  <c r="Q26" i="2" s="1"/>
  <c r="D26" i="2"/>
  <c r="E26" i="2" s="1"/>
  <c r="R25" i="2"/>
  <c r="L25" i="2"/>
  <c r="M25" i="2" s="1"/>
  <c r="P25" i="2" s="1"/>
  <c r="V25" i="2" s="1"/>
  <c r="D25" i="2"/>
  <c r="E25" i="2" s="1"/>
  <c r="R24" i="2"/>
  <c r="L24" i="2"/>
  <c r="M24" i="2" s="1"/>
  <c r="P24" i="2" s="1"/>
  <c r="D24" i="2"/>
  <c r="E24" i="2" s="1"/>
  <c r="R23" i="2"/>
  <c r="L23" i="2"/>
  <c r="M23" i="2" s="1"/>
  <c r="P23" i="2" s="1"/>
  <c r="V23" i="2" s="1"/>
  <c r="D23" i="2"/>
  <c r="E23" i="2" s="1"/>
  <c r="R22" i="2"/>
  <c r="L22" i="2"/>
  <c r="M22" i="2" s="1"/>
  <c r="P22" i="2" s="1"/>
  <c r="Q22" i="2" s="1"/>
  <c r="D22" i="2"/>
  <c r="E22" i="2" s="1"/>
  <c r="R21" i="2"/>
  <c r="L21" i="2"/>
  <c r="M21" i="2" s="1"/>
  <c r="P21" i="2" s="1"/>
  <c r="V21" i="2" s="1"/>
  <c r="D21" i="2"/>
  <c r="E21" i="2" s="1"/>
  <c r="R20" i="2"/>
  <c r="L20" i="2"/>
  <c r="M20" i="2" s="1"/>
  <c r="P20" i="2" s="1"/>
  <c r="Q20" i="2" s="1"/>
  <c r="D20" i="2"/>
  <c r="E20" i="2" s="1"/>
  <c r="R19" i="2"/>
  <c r="L19" i="2"/>
  <c r="M19" i="2" s="1"/>
  <c r="P19" i="2" s="1"/>
  <c r="V19" i="2" s="1"/>
  <c r="D19" i="2"/>
  <c r="E19" i="2" s="1"/>
  <c r="R18" i="2"/>
  <c r="L18" i="2"/>
  <c r="M18" i="2" s="1"/>
  <c r="P18" i="2" s="1"/>
  <c r="Q18" i="2" s="1"/>
  <c r="D18" i="2"/>
  <c r="E18" i="2" s="1"/>
  <c r="R17" i="2"/>
  <c r="L17" i="2"/>
  <c r="M17" i="2" s="1"/>
  <c r="P17" i="2" s="1"/>
  <c r="V17" i="2" s="1"/>
  <c r="D17" i="2"/>
  <c r="E17" i="2" s="1"/>
  <c r="R16" i="2"/>
  <c r="L16" i="2"/>
  <c r="M16" i="2" s="1"/>
  <c r="P16" i="2" s="1"/>
  <c r="Q16" i="2" s="1"/>
  <c r="D16" i="2"/>
  <c r="E16" i="2" s="1"/>
  <c r="R15" i="2"/>
  <c r="L15" i="2"/>
  <c r="M15" i="2" s="1"/>
  <c r="P15" i="2" s="1"/>
  <c r="V15" i="2" s="1"/>
  <c r="D15" i="2"/>
  <c r="E15" i="2" s="1"/>
  <c r="R14" i="2"/>
  <c r="L14" i="2"/>
  <c r="M14" i="2" s="1"/>
  <c r="P14" i="2" s="1"/>
  <c r="Q14" i="2" s="1"/>
  <c r="D14" i="2"/>
  <c r="E14" i="2" s="1"/>
  <c r="R73" i="3"/>
  <c r="L73" i="3"/>
  <c r="M73" i="3" s="1"/>
  <c r="R72" i="3"/>
  <c r="L72" i="3"/>
  <c r="M72" i="3" s="1"/>
  <c r="P72" i="3" s="1"/>
  <c r="D72" i="3"/>
  <c r="R71" i="3"/>
  <c r="L71" i="3"/>
  <c r="M71" i="3" s="1"/>
  <c r="P71" i="3" s="1"/>
  <c r="D71" i="3"/>
  <c r="R70" i="3"/>
  <c r="L70" i="3"/>
  <c r="M70" i="3" s="1"/>
  <c r="D70" i="3"/>
  <c r="R69" i="3"/>
  <c r="L69" i="3"/>
  <c r="M69" i="3" s="1"/>
  <c r="D69" i="3"/>
  <c r="R68" i="3"/>
  <c r="L68" i="3"/>
  <c r="M68" i="3" s="1"/>
  <c r="P68" i="3" s="1"/>
  <c r="V68" i="3" s="1"/>
  <c r="D68" i="3"/>
  <c r="R67" i="3"/>
  <c r="L67" i="3"/>
  <c r="M67" i="3" s="1"/>
  <c r="P67" i="3" s="1"/>
  <c r="D67" i="3"/>
  <c r="R66" i="3"/>
  <c r="L66" i="3"/>
  <c r="M66" i="3" s="1"/>
  <c r="D66" i="3"/>
  <c r="R65" i="3"/>
  <c r="L65" i="3"/>
  <c r="M65" i="3" s="1"/>
  <c r="D65" i="3"/>
  <c r="R64" i="3"/>
  <c r="L64" i="3"/>
  <c r="M64" i="3" s="1"/>
  <c r="P64" i="3" s="1"/>
  <c r="V64" i="3" s="1"/>
  <c r="D64" i="3"/>
  <c r="R63" i="3"/>
  <c r="L63" i="3"/>
  <c r="M63" i="3" s="1"/>
  <c r="P63" i="3" s="1"/>
  <c r="D63" i="3"/>
  <c r="R62" i="3"/>
  <c r="L62" i="3"/>
  <c r="M62" i="3" s="1"/>
  <c r="D62" i="3"/>
  <c r="R61" i="3"/>
  <c r="L61" i="3"/>
  <c r="M61" i="3" s="1"/>
  <c r="D61" i="3"/>
  <c r="R60" i="3"/>
  <c r="L60" i="3"/>
  <c r="M60" i="3" s="1"/>
  <c r="P60" i="3" s="1"/>
  <c r="D60" i="3"/>
  <c r="R59" i="3"/>
  <c r="L59" i="3"/>
  <c r="M59" i="3" s="1"/>
  <c r="P59" i="3" s="1"/>
  <c r="V59" i="3" s="1"/>
  <c r="D59" i="3"/>
  <c r="R58" i="3"/>
  <c r="L58" i="3"/>
  <c r="M58" i="3" s="1"/>
  <c r="D58" i="3"/>
  <c r="R57" i="3"/>
  <c r="L57" i="3"/>
  <c r="M57" i="3" s="1"/>
  <c r="D57" i="3"/>
  <c r="R56" i="3"/>
  <c r="L56" i="3"/>
  <c r="M56" i="3" s="1"/>
  <c r="P56" i="3" s="1"/>
  <c r="D56" i="3"/>
  <c r="R55" i="3"/>
  <c r="L55" i="3"/>
  <c r="M55" i="3" s="1"/>
  <c r="P55" i="3" s="1"/>
  <c r="D55" i="3"/>
  <c r="R54" i="3"/>
  <c r="L54" i="3"/>
  <c r="M54" i="3" s="1"/>
  <c r="D54" i="3"/>
  <c r="R53" i="3"/>
  <c r="L53" i="3"/>
  <c r="M53" i="3" s="1"/>
  <c r="D53" i="3"/>
  <c r="R52" i="3"/>
  <c r="L52" i="3"/>
  <c r="M52" i="3" s="1"/>
  <c r="P52" i="3" s="1"/>
  <c r="D52" i="3"/>
  <c r="R51" i="3"/>
  <c r="L51" i="3"/>
  <c r="M51" i="3" s="1"/>
  <c r="P51" i="3" s="1"/>
  <c r="D51" i="3"/>
  <c r="R50" i="3"/>
  <c r="L50" i="3"/>
  <c r="M50" i="3" s="1"/>
  <c r="D50" i="3"/>
  <c r="R49" i="3"/>
  <c r="L49" i="3"/>
  <c r="M49" i="3" s="1"/>
  <c r="D49" i="3"/>
  <c r="R48" i="3"/>
  <c r="L48" i="3"/>
  <c r="M48" i="3" s="1"/>
  <c r="P48" i="3" s="1"/>
  <c r="V48" i="3" s="1"/>
  <c r="D48" i="3"/>
  <c r="R47" i="3"/>
  <c r="L47" i="3"/>
  <c r="M47" i="3" s="1"/>
  <c r="P47" i="3" s="1"/>
  <c r="D47" i="3"/>
  <c r="R46" i="3"/>
  <c r="L46" i="3"/>
  <c r="M46" i="3" s="1"/>
  <c r="D46" i="3"/>
  <c r="R45" i="3"/>
  <c r="L45" i="3"/>
  <c r="M45" i="3" s="1"/>
  <c r="D45" i="3"/>
  <c r="R44" i="3"/>
  <c r="L44" i="3"/>
  <c r="M44" i="3" s="1"/>
  <c r="P44" i="3" s="1"/>
  <c r="D44" i="3"/>
  <c r="R43" i="3"/>
  <c r="L43" i="3"/>
  <c r="M43" i="3" s="1"/>
  <c r="P43" i="3" s="1"/>
  <c r="D43" i="3"/>
  <c r="R42" i="3"/>
  <c r="L42" i="3"/>
  <c r="M42" i="3" s="1"/>
  <c r="D42" i="3"/>
  <c r="R41" i="3"/>
  <c r="L41" i="3"/>
  <c r="M41" i="3" s="1"/>
  <c r="D41" i="3"/>
  <c r="R40" i="3"/>
  <c r="L40" i="3"/>
  <c r="M40" i="3" s="1"/>
  <c r="P40" i="3" s="1"/>
  <c r="D40" i="3"/>
  <c r="R39" i="3"/>
  <c r="L39" i="3"/>
  <c r="M39" i="3" s="1"/>
  <c r="P39" i="3" s="1"/>
  <c r="Q39" i="3" s="1"/>
  <c r="D39" i="3"/>
  <c r="R38" i="3"/>
  <c r="L38" i="3"/>
  <c r="M38" i="3" s="1"/>
  <c r="D38" i="3"/>
  <c r="R37" i="3"/>
  <c r="L37" i="3"/>
  <c r="M37" i="3" s="1"/>
  <c r="D37" i="3"/>
  <c r="R36" i="3"/>
  <c r="L36" i="3"/>
  <c r="M36" i="3" s="1"/>
  <c r="P36" i="3" s="1"/>
  <c r="D36" i="3"/>
  <c r="R35" i="3"/>
  <c r="L35" i="3"/>
  <c r="M35" i="3" s="1"/>
  <c r="P35" i="3" s="1"/>
  <c r="D35" i="3"/>
  <c r="R34" i="3"/>
  <c r="L34" i="3"/>
  <c r="M34" i="3" s="1"/>
  <c r="D34" i="3"/>
  <c r="R33" i="3"/>
  <c r="L33" i="3"/>
  <c r="M33" i="3" s="1"/>
  <c r="D33" i="3"/>
  <c r="R32" i="3"/>
  <c r="L32" i="3"/>
  <c r="M32" i="3" s="1"/>
  <c r="P32" i="3" s="1"/>
  <c r="V32" i="3" s="1"/>
  <c r="D32" i="3"/>
  <c r="R31" i="3"/>
  <c r="L31" i="3"/>
  <c r="M31" i="3" s="1"/>
  <c r="P31" i="3" s="1"/>
  <c r="D31" i="3"/>
  <c r="R30" i="3"/>
  <c r="L30" i="3"/>
  <c r="M30" i="3" s="1"/>
  <c r="D30" i="3"/>
  <c r="R29" i="3"/>
  <c r="L29" i="3"/>
  <c r="M29" i="3" s="1"/>
  <c r="D29" i="3"/>
  <c r="R28" i="3"/>
  <c r="L28" i="3"/>
  <c r="M28" i="3" s="1"/>
  <c r="P28" i="3" s="1"/>
  <c r="D28" i="3"/>
  <c r="R27" i="3"/>
  <c r="L27" i="3"/>
  <c r="M27" i="3" s="1"/>
  <c r="P27" i="3" s="1"/>
  <c r="D27" i="3"/>
  <c r="R26" i="3"/>
  <c r="L26" i="3"/>
  <c r="M26" i="3" s="1"/>
  <c r="D26" i="3"/>
  <c r="R25" i="3"/>
  <c r="L25" i="3"/>
  <c r="M25" i="3" s="1"/>
  <c r="D25" i="3"/>
  <c r="R24" i="3"/>
  <c r="L24" i="3"/>
  <c r="M24" i="3" s="1"/>
  <c r="P24" i="3" s="1"/>
  <c r="D24" i="3"/>
  <c r="R23" i="3"/>
  <c r="L23" i="3"/>
  <c r="M23" i="3" s="1"/>
  <c r="P23" i="3" s="1"/>
  <c r="D23" i="3"/>
  <c r="R22" i="3"/>
  <c r="L22" i="3"/>
  <c r="M22" i="3" s="1"/>
  <c r="D22" i="3"/>
  <c r="R21" i="3"/>
  <c r="L21" i="3"/>
  <c r="M21" i="3" s="1"/>
  <c r="D21" i="3"/>
  <c r="R20" i="3"/>
  <c r="L20" i="3"/>
  <c r="M20" i="3" s="1"/>
  <c r="P20" i="3" s="1"/>
  <c r="V20" i="3" s="1"/>
  <c r="D20" i="3"/>
  <c r="R19" i="3"/>
  <c r="L19" i="3"/>
  <c r="M19" i="3" s="1"/>
  <c r="P19" i="3" s="1"/>
  <c r="D19" i="3"/>
  <c r="R18" i="3"/>
  <c r="L18" i="3"/>
  <c r="M18" i="3" s="1"/>
  <c r="D18" i="3"/>
  <c r="R17" i="3"/>
  <c r="L17" i="3"/>
  <c r="M17" i="3" s="1"/>
  <c r="D17" i="3"/>
  <c r="R16" i="3"/>
  <c r="L16" i="3"/>
  <c r="M16" i="3" s="1"/>
  <c r="P16" i="3" s="1"/>
  <c r="D16" i="3"/>
  <c r="R15" i="3"/>
  <c r="L15" i="3"/>
  <c r="M15" i="3" s="1"/>
  <c r="P15" i="3" s="1"/>
  <c r="D15" i="3"/>
  <c r="R14" i="3"/>
  <c r="L14" i="3"/>
  <c r="M14" i="3" s="1"/>
  <c r="D14" i="3"/>
  <c r="E16" i="3" l="1"/>
  <c r="W16" i="3"/>
  <c r="X16" i="3" s="1"/>
  <c r="E27" i="3"/>
  <c r="W27" i="3"/>
  <c r="X27" i="3" s="1"/>
  <c r="E35" i="3"/>
  <c r="W35" i="3"/>
  <c r="X35" i="3" s="1"/>
  <c r="E51" i="3"/>
  <c r="W51" i="3"/>
  <c r="X51" i="3" s="1"/>
  <c r="E14" i="3"/>
  <c r="W14" i="3"/>
  <c r="X14" i="3" s="1"/>
  <c r="E22" i="3"/>
  <c r="W22" i="3"/>
  <c r="X22" i="3" s="1"/>
  <c r="E30" i="3"/>
  <c r="W30" i="3"/>
  <c r="X30" i="3" s="1"/>
  <c r="E38" i="3"/>
  <c r="W38" i="3"/>
  <c r="X38" i="3" s="1"/>
  <c r="E46" i="3"/>
  <c r="W46" i="3"/>
  <c r="X46" i="3" s="1"/>
  <c r="E54" i="3"/>
  <c r="W54" i="3"/>
  <c r="X54" i="3" s="1"/>
  <c r="E62" i="3"/>
  <c r="W62" i="3"/>
  <c r="X62" i="3" s="1"/>
  <c r="E70" i="3"/>
  <c r="W70" i="3"/>
  <c r="X70" i="3" s="1"/>
  <c r="E17" i="3"/>
  <c r="W17" i="3"/>
  <c r="X17" i="3" s="1"/>
  <c r="E25" i="3"/>
  <c r="W25" i="3"/>
  <c r="X25" i="3" s="1"/>
  <c r="E33" i="3"/>
  <c r="W33" i="3"/>
  <c r="X33" i="3" s="1"/>
  <c r="E41" i="3"/>
  <c r="W41" i="3"/>
  <c r="X41" i="3" s="1"/>
  <c r="E49" i="3"/>
  <c r="W49" i="3"/>
  <c r="X49" i="3" s="1"/>
  <c r="E57" i="3"/>
  <c r="W57" i="3"/>
  <c r="X57" i="3" s="1"/>
  <c r="E65" i="3"/>
  <c r="W65" i="3"/>
  <c r="X65" i="3" s="1"/>
  <c r="E40" i="3"/>
  <c r="W40" i="3"/>
  <c r="X40" i="3" s="1"/>
  <c r="E64" i="3"/>
  <c r="W64" i="3"/>
  <c r="X64" i="3" s="1"/>
  <c r="E72" i="3"/>
  <c r="W72" i="3"/>
  <c r="X72" i="3" s="1"/>
  <c r="E43" i="3"/>
  <c r="W43" i="3"/>
  <c r="X43" i="3" s="1"/>
  <c r="E28" i="3"/>
  <c r="W28" i="3"/>
  <c r="X28" i="3" s="1"/>
  <c r="E44" i="3"/>
  <c r="W44" i="3"/>
  <c r="X44" i="3" s="1"/>
  <c r="E32" i="3"/>
  <c r="W32" i="3"/>
  <c r="X32" i="3" s="1"/>
  <c r="E48" i="3"/>
  <c r="W48" i="3"/>
  <c r="X48" i="3" s="1"/>
  <c r="E56" i="3"/>
  <c r="W56" i="3"/>
  <c r="X56" i="3" s="1"/>
  <c r="E67" i="3"/>
  <c r="W67" i="3"/>
  <c r="X67" i="3" s="1"/>
  <c r="E36" i="3"/>
  <c r="W36" i="3"/>
  <c r="X36" i="3" s="1"/>
  <c r="E52" i="3"/>
  <c r="W52" i="3"/>
  <c r="X52" i="3" s="1"/>
  <c r="E60" i="3"/>
  <c r="W60" i="3"/>
  <c r="X60" i="3" s="1"/>
  <c r="E23" i="3"/>
  <c r="W23" i="3"/>
  <c r="X23" i="3" s="1"/>
  <c r="E31" i="3"/>
  <c r="W31" i="3"/>
  <c r="X31" i="3" s="1"/>
  <c r="E39" i="3"/>
  <c r="W39" i="3"/>
  <c r="X39" i="3" s="1"/>
  <c r="E47" i="3"/>
  <c r="W47" i="3"/>
  <c r="X47" i="3" s="1"/>
  <c r="E55" i="3"/>
  <c r="W55" i="3"/>
  <c r="X55" i="3" s="1"/>
  <c r="E63" i="3"/>
  <c r="W63" i="3"/>
  <c r="X63" i="3" s="1"/>
  <c r="E71" i="3"/>
  <c r="W71" i="3"/>
  <c r="X71" i="3" s="1"/>
  <c r="E24" i="3"/>
  <c r="W24" i="3"/>
  <c r="X24" i="3" s="1"/>
  <c r="E19" i="3"/>
  <c r="W19" i="3"/>
  <c r="X19" i="3" s="1"/>
  <c r="E59" i="3"/>
  <c r="W59" i="3"/>
  <c r="X59" i="3" s="1"/>
  <c r="E20" i="3"/>
  <c r="W20" i="3"/>
  <c r="X20" i="3" s="1"/>
  <c r="E68" i="3"/>
  <c r="W68" i="3"/>
  <c r="X68" i="3" s="1"/>
  <c r="E26" i="3"/>
  <c r="W26" i="3"/>
  <c r="X26" i="3" s="1"/>
  <c r="E34" i="3"/>
  <c r="W34" i="3"/>
  <c r="X34" i="3" s="1"/>
  <c r="E50" i="3"/>
  <c r="W50" i="3"/>
  <c r="X50" i="3" s="1"/>
  <c r="E58" i="3"/>
  <c r="W58" i="3"/>
  <c r="X58" i="3" s="1"/>
  <c r="E66" i="3"/>
  <c r="W66" i="3"/>
  <c r="X66" i="3" s="1"/>
  <c r="E15" i="3"/>
  <c r="W15" i="3"/>
  <c r="X15" i="3" s="1"/>
  <c r="E18" i="3"/>
  <c r="W18" i="3"/>
  <c r="X18" i="3" s="1"/>
  <c r="E42" i="3"/>
  <c r="W42" i="3"/>
  <c r="X42" i="3" s="1"/>
  <c r="E21" i="3"/>
  <c r="W21" i="3"/>
  <c r="X21" i="3" s="1"/>
  <c r="E29" i="3"/>
  <c r="W29" i="3"/>
  <c r="X29" i="3" s="1"/>
  <c r="E37" i="3"/>
  <c r="W37" i="3"/>
  <c r="X37" i="3" s="1"/>
  <c r="E45" i="3"/>
  <c r="W45" i="3"/>
  <c r="X45" i="3" s="1"/>
  <c r="E53" i="3"/>
  <c r="W53" i="3"/>
  <c r="X53" i="3" s="1"/>
  <c r="E61" i="3"/>
  <c r="W61" i="3"/>
  <c r="X61" i="3" s="1"/>
  <c r="E69" i="3"/>
  <c r="W69" i="3"/>
  <c r="X69" i="3" s="1"/>
  <c r="N72" i="5"/>
  <c r="Q72" i="5" s="1"/>
  <c r="W72" i="5" s="1"/>
  <c r="N69" i="5"/>
  <c r="Q69" i="5" s="1"/>
  <c r="W69" i="5" s="1"/>
  <c r="N61" i="5"/>
  <c r="Q61" i="5" s="1"/>
  <c r="W61" i="5" s="1"/>
  <c r="N16" i="5"/>
  <c r="Q16" i="5" s="1"/>
  <c r="T16" i="5" s="1"/>
  <c r="V28" i="2"/>
  <c r="N68" i="5"/>
  <c r="Q68" i="5" s="1"/>
  <c r="W68" i="5" s="1"/>
  <c r="M60" i="5"/>
  <c r="V38" i="2"/>
  <c r="N64" i="5"/>
  <c r="Q64" i="5" s="1"/>
  <c r="W64" i="5" s="1"/>
  <c r="M57" i="5"/>
  <c r="M44" i="5"/>
  <c r="M36" i="5"/>
  <c r="N56" i="5"/>
  <c r="Q56" i="5" s="1"/>
  <c r="W56" i="5" s="1"/>
  <c r="S19" i="3"/>
  <c r="S27" i="3"/>
  <c r="S51" i="3"/>
  <c r="N53" i="5"/>
  <c r="Q53" i="5" s="1"/>
  <c r="W53" i="5" s="1"/>
  <c r="V42" i="2"/>
  <c r="M46" i="5"/>
  <c r="M22" i="5"/>
  <c r="N50" i="5"/>
  <c r="Q50" i="5" s="1"/>
  <c r="W50" i="5" s="1"/>
  <c r="N40" i="5"/>
  <c r="Q40" i="5" s="1"/>
  <c r="W40" i="5" s="1"/>
  <c r="N29" i="5"/>
  <c r="Q29" i="5" s="1"/>
  <c r="W29" i="5" s="1"/>
  <c r="M73" i="5"/>
  <c r="M65" i="5"/>
  <c r="M54" i="5"/>
  <c r="M33" i="5"/>
  <c r="M17" i="5"/>
  <c r="R25" i="5"/>
  <c r="W25" i="5"/>
  <c r="T36" i="5"/>
  <c r="W36" i="5"/>
  <c r="N14" i="5"/>
  <c r="Q14" i="5" s="1"/>
  <c r="W14" i="5" s="1"/>
  <c r="N66" i="5"/>
  <c r="Q66" i="5" s="1"/>
  <c r="W66" i="5" s="1"/>
  <c r="N58" i="5"/>
  <c r="Q58" i="5" s="1"/>
  <c r="W58" i="5" s="1"/>
  <c r="N48" i="5"/>
  <c r="Q48" i="5" s="1"/>
  <c r="W48" i="5" s="1"/>
  <c r="N37" i="5"/>
  <c r="Q37" i="5" s="1"/>
  <c r="N24" i="5"/>
  <c r="Q24" i="5" s="1"/>
  <c r="M62" i="5"/>
  <c r="M52" i="5"/>
  <c r="M41" i="5"/>
  <c r="M30" i="5"/>
  <c r="N42" i="5"/>
  <c r="Q42" i="5" s="1"/>
  <c r="W42" i="5" s="1"/>
  <c r="N32" i="5"/>
  <c r="Q32" i="5" s="1"/>
  <c r="N45" i="5"/>
  <c r="Q45" i="5" s="1"/>
  <c r="W45" i="5" s="1"/>
  <c r="N34" i="5"/>
  <c r="Q34" i="5" s="1"/>
  <c r="W34" i="5" s="1"/>
  <c r="N21" i="5"/>
  <c r="Q21" i="5" s="1"/>
  <c r="T21" i="5" s="1"/>
  <c r="M70" i="5"/>
  <c r="M49" i="5"/>
  <c r="M38" i="5"/>
  <c r="M25" i="5"/>
  <c r="Q24" i="2"/>
  <c r="V24" i="2"/>
  <c r="Q30" i="2"/>
  <c r="V30" i="2"/>
  <c r="Q34" i="2"/>
  <c r="V34" i="2"/>
  <c r="V44" i="2"/>
  <c r="V40" i="2"/>
  <c r="V36" i="2"/>
  <c r="V32" i="2"/>
  <c r="V26" i="2"/>
  <c r="V22" i="2"/>
  <c r="V18" i="2"/>
  <c r="V20" i="2"/>
  <c r="V46" i="2"/>
  <c r="V14" i="2"/>
  <c r="V48" i="2"/>
  <c r="V16" i="2"/>
  <c r="S16" i="3"/>
  <c r="V16" i="3"/>
  <c r="Q36" i="3"/>
  <c r="V36" i="3"/>
  <c r="Q52" i="3"/>
  <c r="V52" i="3"/>
  <c r="Q72" i="3"/>
  <c r="V72" i="3"/>
  <c r="Q59" i="3"/>
  <c r="S59" i="3"/>
  <c r="Q40" i="3"/>
  <c r="V40" i="3"/>
  <c r="S71" i="3"/>
  <c r="V71" i="3"/>
  <c r="Q24" i="3"/>
  <c r="V24" i="3"/>
  <c r="Q28" i="3"/>
  <c r="V28" i="3"/>
  <c r="Q44" i="3"/>
  <c r="V44" i="3"/>
  <c r="Q56" i="3"/>
  <c r="V56" i="3"/>
  <c r="Q60" i="3"/>
  <c r="V60" i="3"/>
  <c r="Q15" i="3"/>
  <c r="V15" i="3"/>
  <c r="Q19" i="3"/>
  <c r="V19" i="3"/>
  <c r="S23" i="3"/>
  <c r="V23" i="3"/>
  <c r="Q27" i="3"/>
  <c r="V27" i="3"/>
  <c r="Q31" i="3"/>
  <c r="V31" i="3"/>
  <c r="Q35" i="3"/>
  <c r="V35" i="3"/>
  <c r="S39" i="3"/>
  <c r="V39" i="3"/>
  <c r="Q43" i="3"/>
  <c r="V43" i="3"/>
  <c r="Q47" i="3"/>
  <c r="V47" i="3"/>
  <c r="Q51" i="3"/>
  <c r="V51" i="3"/>
  <c r="Q55" i="3"/>
  <c r="V55" i="3"/>
  <c r="Q67" i="3"/>
  <c r="V67" i="3"/>
  <c r="Q23" i="3"/>
  <c r="Q63" i="3"/>
  <c r="V63" i="3"/>
  <c r="S43" i="3"/>
  <c r="Q71" i="3"/>
  <c r="S67" i="3"/>
  <c r="S35" i="3"/>
  <c r="R40" i="5"/>
  <c r="S64" i="3"/>
  <c r="Q64" i="3"/>
  <c r="S48" i="3"/>
  <c r="Q48" i="3"/>
  <c r="Q20" i="3"/>
  <c r="S20" i="3"/>
  <c r="Q68" i="3"/>
  <c r="S68" i="3"/>
  <c r="S32" i="3"/>
  <c r="Q32" i="3"/>
  <c r="S63" i="3"/>
  <c r="S55" i="3"/>
  <c r="S47" i="3"/>
  <c r="S31" i="3"/>
  <c r="S15" i="3"/>
  <c r="M26" i="5"/>
  <c r="M18" i="5"/>
  <c r="N28" i="5"/>
  <c r="Q28" i="5" s="1"/>
  <c r="R28" i="5" s="1"/>
  <c r="N20" i="5"/>
  <c r="Q20" i="5" s="1"/>
  <c r="R20" i="5" s="1"/>
  <c r="Q16" i="3"/>
  <c r="S60" i="3"/>
  <c r="S52" i="3"/>
  <c r="S44" i="3"/>
  <c r="S36" i="3"/>
  <c r="S28" i="3"/>
  <c r="N67" i="5"/>
  <c r="Q67" i="5" s="1"/>
  <c r="W67" i="5" s="1"/>
  <c r="N59" i="5"/>
  <c r="Q59" i="5" s="1"/>
  <c r="W59" i="5" s="1"/>
  <c r="N51" i="5"/>
  <c r="Q51" i="5" s="1"/>
  <c r="W51" i="5" s="1"/>
  <c r="N43" i="5"/>
  <c r="Q43" i="5" s="1"/>
  <c r="N35" i="5"/>
  <c r="Q35" i="5" s="1"/>
  <c r="W35" i="5" s="1"/>
  <c r="N27" i="5"/>
  <c r="Q27" i="5" s="1"/>
  <c r="W27" i="5" s="1"/>
  <c r="N19" i="5"/>
  <c r="Q19" i="5" s="1"/>
  <c r="W19" i="5" s="1"/>
  <c r="M71" i="5"/>
  <c r="M63" i="5"/>
  <c r="M55" i="5"/>
  <c r="M39" i="5"/>
  <c r="M31" i="5"/>
  <c r="M23" i="5"/>
  <c r="M15" i="5"/>
  <c r="R46" i="5"/>
  <c r="R38" i="5"/>
  <c r="S72" i="3"/>
  <c r="S56" i="3"/>
  <c r="S40" i="3"/>
  <c r="S24" i="3"/>
  <c r="N47" i="5"/>
  <c r="Q47" i="5" s="1"/>
  <c r="T47" i="5" s="1"/>
  <c r="T30" i="5"/>
  <c r="R41" i="5"/>
  <c r="R33" i="5"/>
  <c r="T33" i="5"/>
  <c r="R17" i="5"/>
  <c r="T17" i="5"/>
  <c r="T26" i="5"/>
  <c r="T58" i="5"/>
  <c r="T22" i="5"/>
  <c r="T25" i="5"/>
  <c r="R39" i="5"/>
  <c r="T18" i="5"/>
  <c r="R62" i="5"/>
  <c r="R70" i="5"/>
  <c r="T15" i="5"/>
  <c r="R15" i="5"/>
  <c r="T31" i="5"/>
  <c r="R31" i="5"/>
  <c r="T42" i="5"/>
  <c r="R44" i="5"/>
  <c r="T44" i="5"/>
  <c r="T23" i="5"/>
  <c r="R23" i="5"/>
  <c r="R16" i="5"/>
  <c r="R36" i="5"/>
  <c r="T38" i="5"/>
  <c r="T46" i="5"/>
  <c r="T49" i="5"/>
  <c r="R49" i="5"/>
  <c r="R53" i="5"/>
  <c r="T57" i="5"/>
  <c r="R57" i="5"/>
  <c r="T61" i="5"/>
  <c r="R61" i="5"/>
  <c r="T65" i="5"/>
  <c r="R65" i="5"/>
  <c r="R22" i="5"/>
  <c r="R26" i="5"/>
  <c r="R30" i="5"/>
  <c r="T54" i="5"/>
  <c r="R54" i="5"/>
  <c r="R58" i="5"/>
  <c r="T62" i="5"/>
  <c r="T70" i="5"/>
  <c r="T55" i="5"/>
  <c r="R55" i="5"/>
  <c r="R59" i="5"/>
  <c r="T63" i="5"/>
  <c r="R63" i="5"/>
  <c r="T71" i="5"/>
  <c r="R71" i="5"/>
  <c r="R73" i="5"/>
  <c r="T73" i="5"/>
  <c r="T41" i="5"/>
  <c r="T48" i="5"/>
  <c r="T52" i="5"/>
  <c r="R52" i="5"/>
  <c r="R56" i="5"/>
  <c r="T60" i="5"/>
  <c r="R60" i="5"/>
  <c r="R64" i="5"/>
  <c r="R68" i="5"/>
  <c r="Q29" i="2"/>
  <c r="S29" i="2"/>
  <c r="Q37" i="2"/>
  <c r="S37" i="2"/>
  <c r="Q45" i="2"/>
  <c r="S45" i="2"/>
  <c r="Q15" i="2"/>
  <c r="S15" i="2"/>
  <c r="Q31" i="2"/>
  <c r="S31" i="2"/>
  <c r="Q39" i="2"/>
  <c r="S39" i="2"/>
  <c r="Q47" i="2"/>
  <c r="S47" i="2"/>
  <c r="Q17" i="2"/>
  <c r="S17" i="2"/>
  <c r="Q25" i="2"/>
  <c r="S25" i="2"/>
  <c r="Q33" i="2"/>
  <c r="S33" i="2"/>
  <c r="Q41" i="2"/>
  <c r="S41" i="2"/>
  <c r="Q49" i="2"/>
  <c r="S49" i="2"/>
  <c r="Q21" i="2"/>
  <c r="S21" i="2"/>
  <c r="Q23" i="2"/>
  <c r="S23" i="2"/>
  <c r="Q19" i="2"/>
  <c r="S19" i="2"/>
  <c r="Q27" i="2"/>
  <c r="S27" i="2"/>
  <c r="Q35" i="2"/>
  <c r="S35" i="2"/>
  <c r="Q43" i="2"/>
  <c r="S43" i="2"/>
  <c r="S14" i="2"/>
  <c r="S16" i="2"/>
  <c r="S18" i="2"/>
  <c r="S20" i="2"/>
  <c r="S22" i="2"/>
  <c r="S24" i="2"/>
  <c r="S26" i="2"/>
  <c r="S28" i="2"/>
  <c r="S30" i="2"/>
  <c r="S32" i="2"/>
  <c r="S34" i="2"/>
  <c r="S36" i="2"/>
  <c r="S38" i="2"/>
  <c r="S40" i="2"/>
  <c r="S42" i="2"/>
  <c r="S44" i="2"/>
  <c r="S46" i="2"/>
  <c r="S48" i="2"/>
  <c r="Q50" i="2"/>
  <c r="S50" i="2"/>
  <c r="Q51" i="2"/>
  <c r="S51" i="2"/>
  <c r="Q52" i="2"/>
  <c r="S52" i="2"/>
  <c r="Q53" i="2"/>
  <c r="S53" i="2"/>
  <c r="Q54" i="2"/>
  <c r="S54" i="2"/>
  <c r="Q55" i="2"/>
  <c r="S55" i="2"/>
  <c r="Q56" i="2"/>
  <c r="S56" i="2"/>
  <c r="Q57" i="2"/>
  <c r="S57" i="2"/>
  <c r="Q58" i="2"/>
  <c r="S58" i="2"/>
  <c r="Q59" i="2"/>
  <c r="S59" i="2"/>
  <c r="Q60" i="2"/>
  <c r="S60" i="2"/>
  <c r="Q61" i="2"/>
  <c r="S61" i="2"/>
  <c r="Q62" i="2"/>
  <c r="S62" i="2"/>
  <c r="Q63" i="2"/>
  <c r="S63" i="2"/>
  <c r="Q64" i="2"/>
  <c r="S64" i="2"/>
  <c r="Q65" i="2"/>
  <c r="S65" i="2"/>
  <c r="Q66" i="2"/>
  <c r="S66" i="2"/>
  <c r="Q67" i="2"/>
  <c r="S67" i="2"/>
  <c r="Q68" i="2"/>
  <c r="S68" i="2"/>
  <c r="Q69" i="2"/>
  <c r="S69" i="2"/>
  <c r="Q70" i="2"/>
  <c r="S70" i="2"/>
  <c r="Q71" i="2"/>
  <c r="S71" i="2"/>
  <c r="Q72" i="2"/>
  <c r="S72" i="2"/>
  <c r="S73" i="2"/>
  <c r="Q73" i="2"/>
  <c r="P14" i="3"/>
  <c r="V14" i="3" s="1"/>
  <c r="P70" i="3"/>
  <c r="V70" i="3" s="1"/>
  <c r="P66" i="3"/>
  <c r="V66" i="3" s="1"/>
  <c r="P62" i="3"/>
  <c r="V62" i="3" s="1"/>
  <c r="P58" i="3"/>
  <c r="V58" i="3" s="1"/>
  <c r="P54" i="3"/>
  <c r="V54" i="3" s="1"/>
  <c r="P50" i="3"/>
  <c r="V50" i="3" s="1"/>
  <c r="P46" i="3"/>
  <c r="V46" i="3" s="1"/>
  <c r="P42" i="3"/>
  <c r="V42" i="3" s="1"/>
  <c r="P38" i="3"/>
  <c r="V38" i="3" s="1"/>
  <c r="P34" i="3"/>
  <c r="V34" i="3" s="1"/>
  <c r="P30" i="3"/>
  <c r="V30" i="3" s="1"/>
  <c r="P26" i="3"/>
  <c r="V26" i="3" s="1"/>
  <c r="P22" i="3"/>
  <c r="V22" i="3" s="1"/>
  <c r="P18" i="3"/>
  <c r="V18" i="3" s="1"/>
  <c r="P73" i="3"/>
  <c r="V73" i="3" s="1"/>
  <c r="P69" i="3"/>
  <c r="V69" i="3" s="1"/>
  <c r="P65" i="3"/>
  <c r="V65" i="3" s="1"/>
  <c r="P61" i="3"/>
  <c r="V61" i="3" s="1"/>
  <c r="P57" i="3"/>
  <c r="V57" i="3" s="1"/>
  <c r="P53" i="3"/>
  <c r="V53" i="3" s="1"/>
  <c r="P49" i="3"/>
  <c r="V49" i="3" s="1"/>
  <c r="P45" i="3"/>
  <c r="V45" i="3" s="1"/>
  <c r="P41" i="3"/>
  <c r="V41" i="3" s="1"/>
  <c r="P37" i="3"/>
  <c r="V37" i="3" s="1"/>
  <c r="P33" i="3"/>
  <c r="V33" i="3" s="1"/>
  <c r="P29" i="3"/>
  <c r="V29" i="3" s="1"/>
  <c r="P25" i="3"/>
  <c r="V25" i="3" s="1"/>
  <c r="P21" i="3"/>
  <c r="V21" i="3" s="1"/>
  <c r="P17" i="3"/>
  <c r="V17" i="3" s="1"/>
  <c r="T64" i="5" l="1"/>
  <c r="T14" i="5"/>
  <c r="T51" i="5"/>
  <c r="T69" i="5"/>
  <c r="T53" i="5"/>
  <c r="T66" i="5"/>
  <c r="R69" i="5"/>
  <c r="T72" i="5"/>
  <c r="W16" i="5"/>
  <c r="T50" i="5"/>
  <c r="R27" i="5"/>
  <c r="T34" i="5"/>
  <c r="T29" i="5"/>
  <c r="R29" i="5"/>
  <c r="R72" i="5"/>
  <c r="T68" i="5"/>
  <c r="R48" i="5"/>
  <c r="R51" i="5"/>
  <c r="R42" i="5"/>
  <c r="T67" i="5"/>
  <c r="T19" i="5"/>
  <c r="T45" i="5"/>
  <c r="T56" i="5"/>
  <c r="T59" i="5"/>
  <c r="R35" i="5"/>
  <c r="T27" i="5"/>
  <c r="R19" i="5"/>
  <c r="T28" i="5"/>
  <c r="W28" i="5"/>
  <c r="R45" i="5"/>
  <c r="T24" i="5"/>
  <c r="W24" i="5"/>
  <c r="R24" i="5"/>
  <c r="R43" i="5"/>
  <c r="W43" i="5"/>
  <c r="T32" i="5"/>
  <c r="W32" i="5"/>
  <c r="R37" i="5"/>
  <c r="W37" i="5"/>
  <c r="T37" i="5"/>
  <c r="R50" i="5"/>
  <c r="R21" i="5"/>
  <c r="W21" i="5"/>
  <c r="T35" i="5"/>
  <c r="R67" i="5"/>
  <c r="R14" i="5"/>
  <c r="R32" i="5"/>
  <c r="R47" i="5"/>
  <c r="W47" i="5"/>
  <c r="T20" i="5"/>
  <c r="W20" i="5"/>
  <c r="T40" i="5"/>
  <c r="Q25" i="3"/>
  <c r="S25" i="3"/>
  <c r="Q29" i="3"/>
  <c r="S29" i="3"/>
  <c r="Q61" i="3"/>
  <c r="S61" i="3"/>
  <c r="Q34" i="3"/>
  <c r="S34" i="3"/>
  <c r="Q66" i="3"/>
  <c r="S66" i="3"/>
  <c r="Q57" i="3"/>
  <c r="S57" i="3"/>
  <c r="Q70" i="3"/>
  <c r="S70" i="3"/>
  <c r="T43" i="5"/>
  <c r="Q65" i="3"/>
  <c r="S65" i="3"/>
  <c r="Q42" i="3"/>
  <c r="S42" i="3"/>
  <c r="Q14" i="3"/>
  <c r="S14" i="3"/>
  <c r="Q30" i="3"/>
  <c r="S30" i="3"/>
  <c r="Q33" i="3"/>
  <c r="S33" i="3"/>
  <c r="Q41" i="3"/>
  <c r="S41" i="3"/>
  <c r="Q73" i="3"/>
  <c r="S73" i="3"/>
  <c r="Q46" i="3"/>
  <c r="S46" i="3"/>
  <c r="Q37" i="3"/>
  <c r="S37" i="3"/>
  <c r="Q18" i="3"/>
  <c r="S18" i="3"/>
  <c r="Q50" i="3"/>
  <c r="S50" i="3"/>
  <c r="Q62" i="3"/>
  <c r="S62" i="3"/>
  <c r="Q69" i="3"/>
  <c r="S69" i="3"/>
  <c r="Q17" i="3"/>
  <c r="S17" i="3"/>
  <c r="Q22" i="3"/>
  <c r="S22" i="3"/>
  <c r="Q38" i="3"/>
  <c r="S38" i="3"/>
  <c r="Q45" i="3"/>
  <c r="S45" i="3"/>
  <c r="Q49" i="3"/>
  <c r="S49" i="3"/>
  <c r="Q54" i="3"/>
  <c r="S54" i="3"/>
  <c r="Q21" i="3"/>
  <c r="S21" i="3"/>
  <c r="Q53" i="3"/>
  <c r="S53" i="3"/>
  <c r="Q26" i="3"/>
  <c r="S26" i="3"/>
  <c r="Q58" i="3"/>
  <c r="S58" i="3"/>
  <c r="R66" i="5"/>
  <c r="T39" i="5"/>
  <c r="R34" i="5"/>
  <c r="R18" i="5"/>
</calcChain>
</file>

<file path=xl/sharedStrings.xml><?xml version="1.0" encoding="utf-8"?>
<sst xmlns="http://schemas.openxmlformats.org/spreadsheetml/2006/main" count="79" uniqueCount="32">
  <si>
    <t>capital</t>
  </si>
  <si>
    <t>Labor</t>
  </si>
  <si>
    <t>gamma</t>
  </si>
  <si>
    <t>Year</t>
  </si>
  <si>
    <t>Params</t>
  </si>
  <si>
    <t>deltaK</t>
  </si>
  <si>
    <t>Implied sav</t>
  </si>
  <si>
    <t>Inv</t>
  </si>
  <si>
    <t>ImpactT</t>
  </si>
  <si>
    <t>M_Temp</t>
  </si>
  <si>
    <t>O_Temp</t>
  </si>
  <si>
    <t>mu</t>
  </si>
  <si>
    <t>Omega_N</t>
  </si>
  <si>
    <t>Psi:=0.00236</t>
  </si>
  <si>
    <t>required A_N</t>
  </si>
  <si>
    <t>Sigma</t>
  </si>
  <si>
    <t>NOutput</t>
  </si>
  <si>
    <t>Emissions</t>
  </si>
  <si>
    <t>pback</t>
  </si>
  <si>
    <t>Theta</t>
  </si>
  <si>
    <t>GOutput3</t>
  </si>
  <si>
    <t>BasicOutput</t>
  </si>
  <si>
    <t>Psi:=0.007438</t>
  </si>
  <si>
    <t xml:space="preserve">1-(1/((1+(TAT[t]/20.5847)^2)+(TAT[t]/6.081)^(6.754)));
</t>
  </si>
  <si>
    <t>muO</t>
  </si>
  <si>
    <t>GrossE</t>
  </si>
  <si>
    <t>depreciation</t>
  </si>
  <si>
    <t>O_Emissions</t>
  </si>
  <si>
    <t>Goutput</t>
  </si>
  <si>
    <t>Omega_W</t>
  </si>
  <si>
    <t>Consum</t>
  </si>
  <si>
    <t>Consum/cap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</si>
</sst>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/>
    <xf numFmtId="0" fontId="19" fillId="0" borderId="10" xfId="0" applyFont="1" applyBorder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"/>
  <sheetViews>
    <sheetView tabSelected="1" topLeftCell="J3" workbookViewId="0">
      <selection activeCell="AC3" sqref="AC3"/>
    </sheetView>
  </sheetViews>
  <sheetFormatPr baseColWidth="10" defaultRowHeight="14.4" x14ac:dyDescent="0.3"/>
  <cols>
    <col min="4" max="5" width="12" bestFit="1" customWidth="1"/>
    <col min="13" max="13" width="12.5546875" customWidth="1"/>
    <col min="22" max="22" width="12" bestFit="1" customWidth="1"/>
    <col min="24" max="24" width="12" bestFit="1" customWidth="1"/>
    <col min="27" max="27" width="12" bestFit="1" customWidth="1"/>
  </cols>
  <sheetData>
    <row r="1" spans="1:29" x14ac:dyDescent="0.3">
      <c r="A1" t="s">
        <v>4</v>
      </c>
      <c r="B1" t="s">
        <v>5</v>
      </c>
      <c r="C1">
        <v>3.6999999999999998E-2</v>
      </c>
      <c r="M1" t="s">
        <v>13</v>
      </c>
      <c r="N1" t="s">
        <v>19</v>
      </c>
      <c r="O1">
        <v>2.6</v>
      </c>
      <c r="R1" t="s">
        <v>2</v>
      </c>
      <c r="S1">
        <v>0.39313300000000001</v>
      </c>
    </row>
    <row r="2" spans="1:29" x14ac:dyDescent="0.3">
      <c r="L2" s="1">
        <v>0</v>
      </c>
      <c r="M2">
        <v>2.3600000000000001E-3</v>
      </c>
      <c r="N2" s="1"/>
      <c r="O2" s="1"/>
      <c r="P2" s="1"/>
      <c r="Q2" s="1"/>
    </row>
    <row r="3" spans="1:29" x14ac:dyDescent="0.3">
      <c r="A3" t="s">
        <v>3</v>
      </c>
      <c r="B3" t="s">
        <v>0</v>
      </c>
      <c r="C3" t="s">
        <v>26</v>
      </c>
      <c r="D3" t="s">
        <v>7</v>
      </c>
      <c r="E3" t="s">
        <v>6</v>
      </c>
      <c r="F3" t="s">
        <v>1</v>
      </c>
      <c r="H3" t="s">
        <v>16</v>
      </c>
      <c r="I3" t="s">
        <v>27</v>
      </c>
      <c r="J3" t="s">
        <v>9</v>
      </c>
      <c r="K3" t="s">
        <v>10</v>
      </c>
      <c r="L3" t="s">
        <v>8</v>
      </c>
      <c r="M3" t="s">
        <v>12</v>
      </c>
      <c r="N3" t="s">
        <v>11</v>
      </c>
      <c r="O3" t="s">
        <v>18</v>
      </c>
      <c r="P3" t="s">
        <v>28</v>
      </c>
      <c r="Q3" t="s">
        <v>15</v>
      </c>
      <c r="R3" t="s">
        <v>21</v>
      </c>
      <c r="S3" t="s">
        <v>14</v>
      </c>
      <c r="T3" t="s">
        <v>24</v>
      </c>
      <c r="U3" t="s">
        <v>25</v>
      </c>
      <c r="V3" t="s">
        <v>15</v>
      </c>
      <c r="W3" t="s">
        <v>30</v>
      </c>
      <c r="X3" t="s">
        <v>31</v>
      </c>
      <c r="AB3" s="3">
        <v>1.9508020000000001E-2</v>
      </c>
      <c r="AC3">
        <f>AB3*100</f>
        <v>1.9508020000000001</v>
      </c>
    </row>
    <row r="4" spans="1:29" x14ac:dyDescent="0.3">
      <c r="A4">
        <v>1950</v>
      </c>
      <c r="B4">
        <v>60.137696392985902</v>
      </c>
      <c r="C4">
        <f>$C$1</f>
        <v>3.6999999999999998E-2</v>
      </c>
      <c r="D4">
        <f t="shared" ref="D4:D13" si="0">B5-(1-C4)*B4</f>
        <v>3.8255114858513792</v>
      </c>
      <c r="E4">
        <f t="shared" ref="E4:E13" si="1">D4/H4</f>
        <v>0.34718018248111943</v>
      </c>
      <c r="F4">
        <v>2536431</v>
      </c>
      <c r="G4">
        <f t="shared" ref="G4:G12" si="2">F4/10^6</f>
        <v>2.5364309999999999</v>
      </c>
      <c r="H4">
        <v>11.018807175318599</v>
      </c>
      <c r="I4">
        <v>1.6086959685</v>
      </c>
      <c r="J4">
        <v>0.17936417380448505</v>
      </c>
      <c r="K4">
        <v>7.6666666666666661E-2</v>
      </c>
      <c r="L4">
        <f t="shared" ref="L4:L13" si="3">MAX(0,K4-$L$2)</f>
        <v>7.6666666666666661E-2</v>
      </c>
      <c r="M4">
        <f t="shared" ref="M4:M13" si="4">$M$2*L4^2</f>
        <v>1.3871555555555554E-5</v>
      </c>
      <c r="N4">
        <v>0</v>
      </c>
      <c r="O4">
        <v>764.36816254357393</v>
      </c>
      <c r="P4">
        <f t="shared" ref="P4:P13" si="5">(H4+I4*3.664*N4^$O$1*O4/(1000*$O$1))/(1-M4)</f>
        <v>11.018960025434756</v>
      </c>
      <c r="Q4">
        <f t="shared" ref="Q4:Q13" si="6">I4*3.664/P4</f>
        <v>0.53491999380871158</v>
      </c>
      <c r="R4">
        <f t="shared" ref="R4:R13" si="7">B4^$S$1*G4^(1-$S$1)</f>
        <v>8.8054376339073173</v>
      </c>
      <c r="S4">
        <f t="shared" ref="S4:S13" si="8">P4/R4</f>
        <v>1.2513813036394437</v>
      </c>
      <c r="T4">
        <v>0</v>
      </c>
      <c r="U4">
        <f t="shared" ref="U4:U13" si="9">I4/(1-T4)</f>
        <v>1.6086959685</v>
      </c>
      <c r="V4">
        <f t="shared" ref="V4:V13" si="10">U4*3.664/P4</f>
        <v>0.53491999380871158</v>
      </c>
      <c r="W4">
        <f>H4-D4</f>
        <v>7.1932956894672202</v>
      </c>
      <c r="X4">
        <f>W4*10^9/F4</f>
        <v>2835.9910793817062</v>
      </c>
      <c r="Y4">
        <v>0</v>
      </c>
      <c r="AA4">
        <f>(X73/X4)^(1/68)-1</f>
        <v>2.5952642222133004E-2</v>
      </c>
      <c r="AB4">
        <f>AA4*1.45</f>
        <v>3.7631331222092855E-2</v>
      </c>
      <c r="AC4">
        <f>AB4+1.5/100</f>
        <v>5.2631331222092854E-2</v>
      </c>
    </row>
    <row r="5" spans="1:29" x14ac:dyDescent="0.3">
      <c r="A5">
        <v>1951</v>
      </c>
      <c r="B5">
        <v>61.738113112296801</v>
      </c>
      <c r="C5">
        <f t="shared" ref="C5:C68" si="11">$C$1</f>
        <v>3.6999999999999998E-2</v>
      </c>
      <c r="D5">
        <f t="shared" si="0"/>
        <v>3.7632228188446817</v>
      </c>
      <c r="E5">
        <f t="shared" si="1"/>
        <v>0.32348426619116</v>
      </c>
      <c r="F5">
        <v>2584034</v>
      </c>
      <c r="G5">
        <f t="shared" si="2"/>
        <v>2.5840339999999999</v>
      </c>
      <c r="H5">
        <v>11.633402956979801</v>
      </c>
      <c r="I5">
        <v>1.734959827</v>
      </c>
      <c r="J5">
        <v>0.18084093448841809</v>
      </c>
      <c r="K5">
        <v>0.20666666666666667</v>
      </c>
      <c r="L5">
        <f t="shared" si="3"/>
        <v>0.20666666666666667</v>
      </c>
      <c r="M5">
        <f t="shared" si="4"/>
        <v>1.0079822222222222E-4</v>
      </c>
      <c r="N5">
        <v>0</v>
      </c>
      <c r="O5">
        <v>760.50752240292536</v>
      </c>
      <c r="P5">
        <f t="shared" si="5"/>
        <v>11.634575701526824</v>
      </c>
      <c r="Q5">
        <f t="shared" si="6"/>
        <v>0.5463794270807637</v>
      </c>
      <c r="R5">
        <f t="shared" si="7"/>
        <v>8.9977888432389364</v>
      </c>
      <c r="S5">
        <f t="shared" si="8"/>
        <v>1.2930483148945207</v>
      </c>
      <c r="T5">
        <v>0</v>
      </c>
      <c r="U5">
        <f t="shared" si="9"/>
        <v>1.734959827</v>
      </c>
      <c r="V5">
        <f t="shared" si="10"/>
        <v>0.5463794270807637</v>
      </c>
      <c r="W5">
        <f t="shared" ref="W5:W68" si="12">H5-D5</f>
        <v>7.8701801381351189</v>
      </c>
      <c r="X5">
        <f t="shared" ref="X5:X68" si="13">W5*10^9/F5</f>
        <v>3045.6952726377126</v>
      </c>
      <c r="Y5">
        <v>1</v>
      </c>
      <c r="AB5">
        <f>AB4+AB3</f>
        <v>5.7139351222092856E-2</v>
      </c>
    </row>
    <row r="6" spans="1:29" x14ac:dyDescent="0.3">
      <c r="A6">
        <v>1952</v>
      </c>
      <c r="B6">
        <v>63.217025745986497</v>
      </c>
      <c r="C6">
        <f t="shared" si="11"/>
        <v>3.6999999999999998E-2</v>
      </c>
      <c r="D6">
        <f t="shared" si="0"/>
        <v>3.9558424826363989</v>
      </c>
      <c r="E6">
        <f t="shared" si="1"/>
        <v>0.32773126613116699</v>
      </c>
      <c r="F6">
        <v>2630862</v>
      </c>
      <c r="G6">
        <f t="shared" si="2"/>
        <v>2.630862</v>
      </c>
      <c r="H6">
        <v>12.070384767784599</v>
      </c>
      <c r="I6">
        <v>1.7580555105</v>
      </c>
      <c r="J6">
        <v>0.18119531431390007</v>
      </c>
      <c r="K6">
        <v>0.27333333333333332</v>
      </c>
      <c r="L6">
        <f t="shared" si="3"/>
        <v>0.27333333333333332</v>
      </c>
      <c r="M6">
        <f t="shared" si="4"/>
        <v>1.7631822222222222E-4</v>
      </c>
      <c r="N6">
        <v>0</v>
      </c>
      <c r="O6">
        <v>756.66638142907357</v>
      </c>
      <c r="P6">
        <f t="shared" si="5"/>
        <v>12.072513371880083</v>
      </c>
      <c r="Q6">
        <f t="shared" si="6"/>
        <v>0.53356871034625719</v>
      </c>
      <c r="R6">
        <f t="shared" si="7"/>
        <v>9.1814431706518889</v>
      </c>
      <c r="S6">
        <f t="shared" si="8"/>
        <v>1.3148818924751811</v>
      </c>
      <c r="T6">
        <v>0</v>
      </c>
      <c r="U6">
        <f t="shared" si="9"/>
        <v>1.7580555105</v>
      </c>
      <c r="V6">
        <f t="shared" si="10"/>
        <v>0.53356871034625719</v>
      </c>
      <c r="W6">
        <f t="shared" si="12"/>
        <v>8.1145422851482003</v>
      </c>
      <c r="X6">
        <f t="shared" si="13"/>
        <v>3084.3663731310116</v>
      </c>
      <c r="Y6">
        <v>2</v>
      </c>
      <c r="AB6">
        <f>AB5*100</f>
        <v>5.7139351222092856</v>
      </c>
      <c r="AC6">
        <f>AC4*100</f>
        <v>5.2631331222092852</v>
      </c>
    </row>
    <row r="7" spans="1:29" x14ac:dyDescent="0.3">
      <c r="A7">
        <v>1953</v>
      </c>
      <c r="B7">
        <v>64.833838276021396</v>
      </c>
      <c r="C7">
        <f t="shared" si="11"/>
        <v>3.6999999999999998E-2</v>
      </c>
      <c r="D7">
        <f t="shared" si="0"/>
        <v>4.1665944256869025</v>
      </c>
      <c r="E7">
        <f t="shared" si="1"/>
        <v>0.32977079180915303</v>
      </c>
      <c r="F7">
        <v>2677609</v>
      </c>
      <c r="G7">
        <f t="shared" si="2"/>
        <v>2.6776089999999999</v>
      </c>
      <c r="H7">
        <v>12.634819484250199</v>
      </c>
      <c r="I7">
        <v>1.806907552</v>
      </c>
      <c r="J7">
        <v>0.18137520946322205</v>
      </c>
      <c r="K7">
        <v>0.35000000000000003</v>
      </c>
      <c r="L7">
        <f t="shared" si="3"/>
        <v>0.35000000000000003</v>
      </c>
      <c r="M7">
        <f t="shared" si="4"/>
        <v>2.8910000000000009E-4</v>
      </c>
      <c r="N7">
        <v>0</v>
      </c>
      <c r="O7">
        <v>752.84464113640684</v>
      </c>
      <c r="P7">
        <f t="shared" si="5"/>
        <v>12.638473266871653</v>
      </c>
      <c r="Q7">
        <f t="shared" si="6"/>
        <v>0.52383773979107739</v>
      </c>
      <c r="R7">
        <f t="shared" si="7"/>
        <v>9.3726993445396936</v>
      </c>
      <c r="S7">
        <f t="shared" si="8"/>
        <v>1.3484347253957869</v>
      </c>
      <c r="T7">
        <v>0</v>
      </c>
      <c r="U7">
        <f t="shared" si="9"/>
        <v>1.806907552</v>
      </c>
      <c r="V7">
        <f t="shared" si="10"/>
        <v>0.52383773979107739</v>
      </c>
      <c r="W7">
        <f t="shared" si="12"/>
        <v>8.4682250585632968</v>
      </c>
      <c r="X7">
        <f t="shared" si="13"/>
        <v>3162.6070343217762</v>
      </c>
      <c r="Y7">
        <v>3</v>
      </c>
    </row>
    <row r="8" spans="1:29" x14ac:dyDescent="0.3">
      <c r="A8">
        <v>1954</v>
      </c>
      <c r="B8">
        <v>66.601580685495506</v>
      </c>
      <c r="C8">
        <f t="shared" si="11"/>
        <v>3.6999999999999998E-2</v>
      </c>
      <c r="D8">
        <f t="shared" si="0"/>
        <v>4.5111545331738228</v>
      </c>
      <c r="E8">
        <f t="shared" si="1"/>
        <v>0.34838259522888398</v>
      </c>
      <c r="F8">
        <v>2724847</v>
      </c>
      <c r="G8">
        <f t="shared" si="2"/>
        <v>2.724847</v>
      </c>
      <c r="H8">
        <v>12.9488516216203</v>
      </c>
      <c r="I8">
        <v>1.8452669865</v>
      </c>
      <c r="J8">
        <v>0.18200330961907407</v>
      </c>
      <c r="K8">
        <v>0.13</v>
      </c>
      <c r="L8">
        <f t="shared" si="3"/>
        <v>0.13</v>
      </c>
      <c r="M8">
        <f t="shared" si="4"/>
        <v>3.9884000000000006E-5</v>
      </c>
      <c r="N8">
        <v>0</v>
      </c>
      <c r="O8">
        <v>749.04220353674066</v>
      </c>
      <c r="P8">
        <f t="shared" si="5"/>
        <v>12.94936809421737</v>
      </c>
      <c r="Q8">
        <f t="shared" si="6"/>
        <v>0.52211491629118167</v>
      </c>
      <c r="R8">
        <f t="shared" si="7"/>
        <v>9.5734112094807262</v>
      </c>
      <c r="S8">
        <f t="shared" si="8"/>
        <v>1.3526388672611671</v>
      </c>
      <c r="T8">
        <v>0</v>
      </c>
      <c r="U8">
        <f t="shared" si="9"/>
        <v>1.8452669865</v>
      </c>
      <c r="V8">
        <f t="shared" si="10"/>
        <v>0.52211491629118167</v>
      </c>
      <c r="W8">
        <f t="shared" si="12"/>
        <v>8.4376970884464768</v>
      </c>
      <c r="X8">
        <f t="shared" si="13"/>
        <v>3096.5764640900852</v>
      </c>
      <c r="Y8">
        <v>4</v>
      </c>
    </row>
    <row r="9" spans="1:29" x14ac:dyDescent="0.3">
      <c r="A9">
        <v>1955</v>
      </c>
      <c r="B9">
        <v>68.648476733305998</v>
      </c>
      <c r="C9">
        <f t="shared" si="11"/>
        <v>3.6999999999999998E-2</v>
      </c>
      <c r="D9">
        <f t="shared" si="0"/>
        <v>4.6595402935009247</v>
      </c>
      <c r="E9">
        <f t="shared" si="1"/>
        <v>0.34130519242142204</v>
      </c>
      <c r="F9">
        <v>2773020</v>
      </c>
      <c r="G9">
        <f t="shared" si="2"/>
        <v>2.7730199999999998</v>
      </c>
      <c r="H9">
        <v>13.652122490265601</v>
      </c>
      <c r="I9">
        <v>2.0224472035000001</v>
      </c>
      <c r="J9">
        <v>0.18302297293406306</v>
      </c>
      <c r="K9">
        <v>9.6666666666666679E-2</v>
      </c>
      <c r="L9">
        <f t="shared" si="3"/>
        <v>9.6666666666666679E-2</v>
      </c>
      <c r="M9">
        <f t="shared" si="4"/>
        <v>2.2052888888888895E-5</v>
      </c>
      <c r="N9">
        <v>0</v>
      </c>
      <c r="O9">
        <v>745.25897113680537</v>
      </c>
      <c r="P9">
        <f t="shared" si="5"/>
        <v>13.652423565645558</v>
      </c>
      <c r="Q9">
        <f t="shared" si="6"/>
        <v>0.54277883468770083</v>
      </c>
      <c r="R9">
        <f t="shared" si="7"/>
        <v>9.7916025543617966</v>
      </c>
      <c r="S9">
        <f t="shared" si="8"/>
        <v>1.3942991956473876</v>
      </c>
      <c r="T9">
        <v>0</v>
      </c>
      <c r="U9">
        <f t="shared" si="9"/>
        <v>2.0224472035000001</v>
      </c>
      <c r="V9">
        <f t="shared" si="10"/>
        <v>0.54277883468770083</v>
      </c>
      <c r="W9">
        <f t="shared" si="12"/>
        <v>8.9925821967646762</v>
      </c>
      <c r="X9">
        <f t="shared" si="13"/>
        <v>3242.8840025548598</v>
      </c>
      <c r="Y9">
        <v>5</v>
      </c>
    </row>
    <row r="10" spans="1:29" x14ac:dyDescent="0.3">
      <c r="A10">
        <v>1956</v>
      </c>
      <c r="B10">
        <v>70.768023387674603</v>
      </c>
      <c r="C10">
        <f t="shared" si="11"/>
        <v>3.6999999999999998E-2</v>
      </c>
      <c r="D10">
        <f t="shared" si="0"/>
        <v>4.8333846910828555</v>
      </c>
      <c r="E10">
        <f t="shared" si="1"/>
        <v>0.34114213810515942</v>
      </c>
      <c r="F10">
        <v>2822443</v>
      </c>
      <c r="G10">
        <f t="shared" si="2"/>
        <v>2.8224429999999998</v>
      </c>
      <c r="H10">
        <v>14.1682429439219</v>
      </c>
      <c r="I10">
        <v>2.1528965394999999</v>
      </c>
      <c r="J10">
        <v>0.18445054798044708</v>
      </c>
      <c r="K10">
        <v>3.3333333333333333E-2</v>
      </c>
      <c r="L10">
        <f t="shared" si="3"/>
        <v>3.3333333333333333E-2</v>
      </c>
      <c r="M10">
        <f t="shared" si="4"/>
        <v>2.6222222222222225E-6</v>
      </c>
      <c r="N10">
        <v>0</v>
      </c>
      <c r="O10">
        <v>741.49484693574641</v>
      </c>
      <c r="P10">
        <f t="shared" si="5"/>
        <v>14.168280096300819</v>
      </c>
      <c r="Q10">
        <f t="shared" si="6"/>
        <v>0.55675162172912751</v>
      </c>
      <c r="R10">
        <f t="shared" si="7"/>
        <v>10.016166752291893</v>
      </c>
      <c r="S10">
        <f t="shared" si="8"/>
        <v>1.414541155982536</v>
      </c>
      <c r="T10">
        <v>0</v>
      </c>
      <c r="U10">
        <f t="shared" si="9"/>
        <v>2.1528965394999999</v>
      </c>
      <c r="V10">
        <f t="shared" si="10"/>
        <v>0.55675162172912751</v>
      </c>
      <c r="W10">
        <f t="shared" si="12"/>
        <v>9.3348582528390445</v>
      </c>
      <c r="X10">
        <f t="shared" si="13"/>
        <v>3307.3682100361439</v>
      </c>
      <c r="Y10">
        <v>6</v>
      </c>
    </row>
    <row r="11" spans="1:29" x14ac:dyDescent="0.3">
      <c r="A11">
        <v>1957</v>
      </c>
      <c r="B11">
        <v>72.982991213413499</v>
      </c>
      <c r="C11">
        <f t="shared" si="11"/>
        <v>3.6999999999999998E-2</v>
      </c>
      <c r="D11">
        <f t="shared" si="0"/>
        <v>4.8526070070648046</v>
      </c>
      <c r="E11">
        <f t="shared" si="1"/>
        <v>0.33057393317060135</v>
      </c>
      <c r="F11">
        <v>2873306</v>
      </c>
      <c r="G11">
        <f t="shared" si="2"/>
        <v>2.8733059999999999</v>
      </c>
      <c r="H11">
        <v>14.6793395369153</v>
      </c>
      <c r="I11">
        <v>2.2237669594999998</v>
      </c>
      <c r="J11">
        <v>0.18633425249196606</v>
      </c>
      <c r="K11">
        <v>0.28666666666666668</v>
      </c>
      <c r="L11">
        <f t="shared" si="3"/>
        <v>0.28666666666666668</v>
      </c>
      <c r="M11">
        <f t="shared" si="4"/>
        <v>1.9393955555555557E-4</v>
      </c>
      <c r="N11">
        <v>0</v>
      </c>
      <c r="O11">
        <v>737.74973442263718</v>
      </c>
      <c r="P11">
        <f t="shared" si="5"/>
        <v>14.682186993735449</v>
      </c>
      <c r="Q11">
        <f t="shared" si="6"/>
        <v>0.55495016805633335</v>
      </c>
      <c r="R11">
        <f t="shared" si="7"/>
        <v>10.248746631469508</v>
      </c>
      <c r="S11">
        <f t="shared" si="8"/>
        <v>1.4325836633186682</v>
      </c>
      <c r="T11">
        <v>0</v>
      </c>
      <c r="U11">
        <f t="shared" si="9"/>
        <v>2.2237669594999998</v>
      </c>
      <c r="V11">
        <f t="shared" si="10"/>
        <v>0.55495016805633335</v>
      </c>
      <c r="W11">
        <f t="shared" si="12"/>
        <v>9.8267325298504957</v>
      </c>
      <c r="X11">
        <f t="shared" si="13"/>
        <v>3420.0090522382566</v>
      </c>
      <c r="Y11">
        <v>7</v>
      </c>
    </row>
    <row r="12" spans="1:29" x14ac:dyDescent="0.3">
      <c r="A12">
        <v>1958</v>
      </c>
      <c r="B12">
        <v>75.135227545581998</v>
      </c>
      <c r="C12">
        <f t="shared" si="11"/>
        <v>3.6999999999999998E-2</v>
      </c>
      <c r="D12">
        <f t="shared" si="0"/>
        <v>5.1843400255578445</v>
      </c>
      <c r="E12">
        <f t="shared" si="1"/>
        <v>0.34457026890396336</v>
      </c>
      <c r="F12">
        <v>2925687</v>
      </c>
      <c r="G12">
        <f t="shared" si="2"/>
        <v>2.9256869999999999</v>
      </c>
      <c r="H12">
        <v>15.045813563801101</v>
      </c>
      <c r="I12">
        <v>2.2866228624999998</v>
      </c>
      <c r="J12">
        <v>0.18889815802519005</v>
      </c>
      <c r="K12">
        <v>0.32333333333333331</v>
      </c>
      <c r="L12">
        <f t="shared" si="3"/>
        <v>0.32333333333333331</v>
      </c>
      <c r="M12">
        <f t="shared" si="4"/>
        <v>2.4672488888888885E-4</v>
      </c>
      <c r="N12">
        <v>0</v>
      </c>
      <c r="O12">
        <v>734.02353757400465</v>
      </c>
      <c r="P12">
        <f t="shared" si="5"/>
        <v>15.049526656593279</v>
      </c>
      <c r="Q12">
        <f t="shared" si="6"/>
        <v>0.55670762007185592</v>
      </c>
      <c r="R12">
        <f t="shared" si="7"/>
        <v>10.480797457161811</v>
      </c>
      <c r="S12">
        <f t="shared" si="8"/>
        <v>1.4359142725642058</v>
      </c>
      <c r="T12">
        <v>0</v>
      </c>
      <c r="U12">
        <f t="shared" si="9"/>
        <v>2.2866228624999998</v>
      </c>
      <c r="V12">
        <f t="shared" si="10"/>
        <v>0.55670762007185592</v>
      </c>
      <c r="W12">
        <f t="shared" si="12"/>
        <v>9.8614735382432563</v>
      </c>
      <c r="X12">
        <f t="shared" si="13"/>
        <v>3370.6522735491717</v>
      </c>
      <c r="Y12">
        <v>8</v>
      </c>
    </row>
    <row r="13" spans="1:29" x14ac:dyDescent="0.3">
      <c r="A13">
        <v>1959</v>
      </c>
      <c r="B13">
        <v>77.5395641519533</v>
      </c>
      <c r="C13">
        <f t="shared" si="11"/>
        <v>3.6999999999999998E-2</v>
      </c>
      <c r="D13">
        <f t="shared" si="0"/>
        <v>5.6379383980275719</v>
      </c>
      <c r="E13">
        <f t="shared" si="1"/>
        <v>0.35942985732780364</v>
      </c>
      <c r="F13">
        <v>2979576</v>
      </c>
      <c r="G13">
        <f>F13/10^6</f>
        <v>2.9795759999999998</v>
      </c>
      <c r="H13">
        <v>15.685782032530801</v>
      </c>
      <c r="I13">
        <v>2.415</v>
      </c>
      <c r="J13">
        <v>0.19275882652255805</v>
      </c>
      <c r="K13">
        <v>0.29000000000000004</v>
      </c>
      <c r="L13">
        <f t="shared" si="3"/>
        <v>0.29000000000000004</v>
      </c>
      <c r="M13">
        <f t="shared" si="4"/>
        <v>1.9847600000000006E-4</v>
      </c>
      <c r="N13">
        <v>0</v>
      </c>
      <c r="O13">
        <v>730.31616085136739</v>
      </c>
      <c r="P13">
        <f t="shared" si="5"/>
        <v>15.688895901833813</v>
      </c>
      <c r="Q13">
        <f t="shared" si="6"/>
        <v>0.56400144760765014</v>
      </c>
      <c r="R13">
        <f t="shared" si="7"/>
        <v>10.729579068546366</v>
      </c>
      <c r="S13">
        <f t="shared" si="8"/>
        <v>1.4622098221751891</v>
      </c>
      <c r="T13">
        <v>0</v>
      </c>
      <c r="U13">
        <f t="shared" si="9"/>
        <v>2.415</v>
      </c>
      <c r="V13">
        <f t="shared" si="10"/>
        <v>0.56400144760765014</v>
      </c>
      <c r="W13">
        <f t="shared" si="12"/>
        <v>10.047843634503229</v>
      </c>
      <c r="X13">
        <f t="shared" si="13"/>
        <v>3372.2394174551109</v>
      </c>
      <c r="Y13">
        <v>9</v>
      </c>
    </row>
    <row r="14" spans="1:29" x14ac:dyDescent="0.3">
      <c r="A14">
        <v>1960</v>
      </c>
      <c r="B14">
        <v>80.308538676358594</v>
      </c>
      <c r="C14">
        <f t="shared" si="11"/>
        <v>3.6999999999999998E-2</v>
      </c>
      <c r="D14">
        <f>B15-(1-C14)*B14</f>
        <v>5.8257843888043794</v>
      </c>
      <c r="E14">
        <f>D14/H14</f>
        <v>0.35466297578869205</v>
      </c>
      <c r="F14">
        <v>3034950</v>
      </c>
      <c r="G14">
        <v>3.0349499999999998</v>
      </c>
      <c r="H14">
        <v>16.426254744660401</v>
      </c>
      <c r="I14">
        <v>2.548</v>
      </c>
      <c r="J14">
        <v>0.19819797409740808</v>
      </c>
      <c r="K14">
        <v>0.24333333333333332</v>
      </c>
      <c r="L14">
        <f t="shared" ref="L14:L73" si="14">MAX(0,K14-$L$2)</f>
        <v>0.24333333333333332</v>
      </c>
      <c r="M14">
        <f t="shared" ref="M14:M45" si="15">$M$2*L14^2</f>
        <v>1.3973822222222221E-4</v>
      </c>
      <c r="N14">
        <v>0</v>
      </c>
      <c r="O14">
        <v>726.62750919878567</v>
      </c>
      <c r="P14">
        <f t="shared" ref="P14:P45" si="16">(H14+I14*3.664*N14^$O$1*O14/(1000*$O$1))/(1-M14)</f>
        <v>16.428550441092728</v>
      </c>
      <c r="Q14">
        <f>I14*3.664/P14</f>
        <v>0.56827119553093297</v>
      </c>
      <c r="R14">
        <f t="shared" ref="R14:R45" si="17">B14^$S$1*G14^(1-$S$1)</f>
        <v>11.000857766365446</v>
      </c>
      <c r="S14">
        <f>P14/R14</f>
        <v>1.4933881329983352</v>
      </c>
      <c r="T14">
        <v>0</v>
      </c>
      <c r="U14">
        <f>I14/(1-T14)</f>
        <v>2.548</v>
      </c>
      <c r="V14">
        <f>U14*3.664/P14</f>
        <v>0.56827119553093297</v>
      </c>
      <c r="W14">
        <f t="shared" si="12"/>
        <v>10.600470355856022</v>
      </c>
      <c r="X14">
        <f t="shared" si="13"/>
        <v>3492.7990101504215</v>
      </c>
      <c r="Y14">
        <v>10</v>
      </c>
    </row>
    <row r="15" spans="1:29" x14ac:dyDescent="0.3">
      <c r="A15">
        <v>1961</v>
      </c>
      <c r="B15">
        <v>83.162907134137697</v>
      </c>
      <c r="C15">
        <f t="shared" si="11"/>
        <v>3.6999999999999998E-2</v>
      </c>
      <c r="D15">
        <f t="shared" ref="D15:D72" si="18">B16-(1-C15)*B15</f>
        <v>6.0296889676300083</v>
      </c>
      <c r="E15">
        <f t="shared" ref="E15:E72" si="19">D15/H15</f>
        <v>0.35558845359282121</v>
      </c>
      <c r="F15">
        <v>3091844</v>
      </c>
      <c r="G15">
        <v>3.091844</v>
      </c>
      <c r="H15">
        <v>16.956931269018401</v>
      </c>
      <c r="I15">
        <v>2.5529999999999999</v>
      </c>
      <c r="J15">
        <v>0.20399596715249407</v>
      </c>
      <c r="K15">
        <v>0.31</v>
      </c>
      <c r="L15">
        <f t="shared" si="14"/>
        <v>0.31</v>
      </c>
      <c r="M15">
        <f t="shared" si="15"/>
        <v>2.2679600000000003E-4</v>
      </c>
      <c r="N15">
        <v>0</v>
      </c>
      <c r="O15">
        <v>722.95748804042478</v>
      </c>
      <c r="P15">
        <f t="shared" si="16"/>
        <v>16.960777905604282</v>
      </c>
      <c r="Q15">
        <f t="shared" ref="Q15:Q73" si="20">I15*3.664/P15</f>
        <v>0.55151904305693022</v>
      </c>
      <c r="R15">
        <f t="shared" si="17"/>
        <v>11.279363064505862</v>
      </c>
      <c r="S15">
        <f t="shared" ref="S15:S73" si="21">P15/R15</f>
        <v>1.5036999703446745</v>
      </c>
      <c r="T15">
        <v>0</v>
      </c>
      <c r="U15">
        <f t="shared" ref="U15:U73" si="22">I15/(1-T15)</f>
        <v>2.5529999999999999</v>
      </c>
      <c r="V15">
        <f t="shared" ref="V15:V73" si="23">U15*3.664/P15</f>
        <v>0.55151904305693022</v>
      </c>
      <c r="W15">
        <f t="shared" si="12"/>
        <v>10.927242301388393</v>
      </c>
      <c r="X15">
        <f t="shared" si="13"/>
        <v>3534.2152778045702</v>
      </c>
      <c r="Y15">
        <v>11</v>
      </c>
    </row>
    <row r="16" spans="1:29" x14ac:dyDescent="0.3">
      <c r="A16">
        <v>1962</v>
      </c>
      <c r="B16">
        <v>86.115568537804606</v>
      </c>
      <c r="C16">
        <f t="shared" si="11"/>
        <v>3.6999999999999998E-2</v>
      </c>
      <c r="D16">
        <f t="shared" si="18"/>
        <v>6.2971838074768698</v>
      </c>
      <c r="E16">
        <f t="shared" si="19"/>
        <v>0.35487718350573683</v>
      </c>
      <c r="F16">
        <v>3150421</v>
      </c>
      <c r="G16">
        <v>3.1504210000000001</v>
      </c>
      <c r="H16">
        <v>17.7446849224531</v>
      </c>
      <c r="I16">
        <v>2.6440000000000001</v>
      </c>
      <c r="J16">
        <v>0.20901795356651709</v>
      </c>
      <c r="K16">
        <v>0.30000000000000004</v>
      </c>
      <c r="L16">
        <f t="shared" si="14"/>
        <v>0.30000000000000004</v>
      </c>
      <c r="M16">
        <f t="shared" si="15"/>
        <v>2.1240000000000007E-4</v>
      </c>
      <c r="N16">
        <v>0</v>
      </c>
      <c r="O16">
        <v>719.30600327812965</v>
      </c>
      <c r="P16">
        <f t="shared" si="16"/>
        <v>17.748454694230155</v>
      </c>
      <c r="Q16">
        <f t="shared" si="20"/>
        <v>0.54582870266160954</v>
      </c>
      <c r="R16">
        <f t="shared" si="17"/>
        <v>11.566125936865351</v>
      </c>
      <c r="S16">
        <f t="shared" si="21"/>
        <v>1.534520269890848</v>
      </c>
      <c r="T16">
        <v>0</v>
      </c>
      <c r="U16">
        <f t="shared" si="22"/>
        <v>2.6440000000000001</v>
      </c>
      <c r="V16">
        <f t="shared" si="23"/>
        <v>0.54582870266160954</v>
      </c>
      <c r="W16">
        <f t="shared" si="12"/>
        <v>11.44750111497623</v>
      </c>
      <c r="X16">
        <f t="shared" si="13"/>
        <v>3633.6416989907793</v>
      </c>
      <c r="Y16">
        <v>12</v>
      </c>
    </row>
    <row r="17" spans="1:25" x14ac:dyDescent="0.3">
      <c r="A17">
        <v>1963</v>
      </c>
      <c r="B17">
        <v>89.226476309382704</v>
      </c>
      <c r="C17">
        <f t="shared" si="11"/>
        <v>3.6999999999999998E-2</v>
      </c>
      <c r="D17">
        <f t="shared" si="18"/>
        <v>6.8668256393275584</v>
      </c>
      <c r="E17">
        <f t="shared" si="19"/>
        <v>0.36894511117532341</v>
      </c>
      <c r="F17">
        <v>3211001</v>
      </c>
      <c r="G17">
        <v>3.211001</v>
      </c>
      <c r="H17">
        <v>18.6120521219332</v>
      </c>
      <c r="I17">
        <v>2.794</v>
      </c>
      <c r="J17">
        <v>0.21392406699756705</v>
      </c>
      <c r="K17">
        <v>0.32</v>
      </c>
      <c r="L17">
        <f t="shared" si="14"/>
        <v>0.32</v>
      </c>
      <c r="M17">
        <f t="shared" si="15"/>
        <v>2.4166400000000002E-4</v>
      </c>
      <c r="N17">
        <v>0</v>
      </c>
      <c r="O17">
        <v>715.67296128901262</v>
      </c>
      <c r="P17">
        <f t="shared" si="16"/>
        <v>18.616551072131497</v>
      </c>
      <c r="Q17">
        <f t="shared" si="20"/>
        <v>0.54989863376599613</v>
      </c>
      <c r="R17">
        <f t="shared" si="17"/>
        <v>11.864974818024349</v>
      </c>
      <c r="S17">
        <f t="shared" si="21"/>
        <v>1.5690341831868599</v>
      </c>
      <c r="T17">
        <v>0</v>
      </c>
      <c r="U17">
        <f t="shared" si="22"/>
        <v>2.794</v>
      </c>
      <c r="V17">
        <f t="shared" si="23"/>
        <v>0.54989863376599613</v>
      </c>
      <c r="W17">
        <f t="shared" si="12"/>
        <v>11.745226482605641</v>
      </c>
      <c r="X17">
        <f t="shared" si="13"/>
        <v>3657.8084163180397</v>
      </c>
      <c r="Y17">
        <v>13</v>
      </c>
    </row>
    <row r="18" spans="1:25" x14ac:dyDescent="0.3">
      <c r="A18">
        <v>1964</v>
      </c>
      <c r="B18">
        <v>92.791922325263101</v>
      </c>
      <c r="C18">
        <f t="shared" si="11"/>
        <v>3.6999999999999998E-2</v>
      </c>
      <c r="D18">
        <f t="shared" si="18"/>
        <v>7.1964041990486294</v>
      </c>
      <c r="E18">
        <f t="shared" si="19"/>
        <v>0.36531560274041214</v>
      </c>
      <c r="F18">
        <v>3273978</v>
      </c>
      <c r="G18">
        <v>3.2739780000000001</v>
      </c>
      <c r="H18">
        <v>19.699142727725999</v>
      </c>
      <c r="I18">
        <v>2.9390000000000001</v>
      </c>
      <c r="J18">
        <v>0.21946979682425205</v>
      </c>
      <c r="K18">
        <v>0.06</v>
      </c>
      <c r="L18">
        <f t="shared" si="14"/>
        <v>0.06</v>
      </c>
      <c r="M18">
        <f t="shared" si="15"/>
        <v>8.4959999999999996E-6</v>
      </c>
      <c r="N18">
        <v>0</v>
      </c>
      <c r="O18">
        <v>712.05826892305254</v>
      </c>
      <c r="P18">
        <f t="shared" si="16"/>
        <v>19.69931009306455</v>
      </c>
      <c r="Q18">
        <f t="shared" si="20"/>
        <v>0.54664330624407087</v>
      </c>
      <c r="R18">
        <f t="shared" si="17"/>
        <v>12.192019698805225</v>
      </c>
      <c r="S18">
        <f t="shared" si="21"/>
        <v>1.6157544508392661</v>
      </c>
      <c r="T18">
        <v>0</v>
      </c>
      <c r="U18">
        <f t="shared" si="22"/>
        <v>2.9390000000000001</v>
      </c>
      <c r="V18">
        <f t="shared" si="23"/>
        <v>0.54664330624407087</v>
      </c>
      <c r="W18">
        <f t="shared" si="12"/>
        <v>12.502738528677369</v>
      </c>
      <c r="X18">
        <f t="shared" si="13"/>
        <v>3818.8217907015169</v>
      </c>
      <c r="Y18">
        <v>14</v>
      </c>
    </row>
    <row r="19" spans="1:25" x14ac:dyDescent="0.3">
      <c r="A19">
        <v>1965</v>
      </c>
      <c r="B19">
        <v>96.555025398276996</v>
      </c>
      <c r="C19">
        <f t="shared" si="11"/>
        <v>3.6999999999999998E-2</v>
      </c>
      <c r="D19">
        <f t="shared" si="18"/>
        <v>7.5171919568762604</v>
      </c>
      <c r="E19">
        <f t="shared" si="19"/>
        <v>0.36386000101866106</v>
      </c>
      <c r="F19">
        <v>3339584</v>
      </c>
      <c r="G19">
        <v>3.3395839999999999</v>
      </c>
      <c r="H19">
        <v>20.659572186640901</v>
      </c>
      <c r="I19">
        <v>3.0760000000000001</v>
      </c>
      <c r="J19">
        <v>0.22580623153550106</v>
      </c>
      <c r="K19">
        <v>0.14333333333333334</v>
      </c>
      <c r="L19">
        <f t="shared" si="14"/>
        <v>0.14333333333333334</v>
      </c>
      <c r="M19">
        <f t="shared" si="15"/>
        <v>4.8484888888888892E-5</v>
      </c>
      <c r="N19">
        <v>0</v>
      </c>
      <c r="O19">
        <v>708.46183350070669</v>
      </c>
      <c r="P19">
        <f t="shared" si="16"/>
        <v>20.660573912271417</v>
      </c>
      <c r="Q19">
        <f t="shared" si="20"/>
        <v>0.54550585321862088</v>
      </c>
      <c r="R19">
        <f t="shared" si="17"/>
        <v>12.534070189441067</v>
      </c>
      <c r="S19">
        <f t="shared" si="21"/>
        <v>1.648353136691086</v>
      </c>
      <c r="T19">
        <v>0</v>
      </c>
      <c r="U19">
        <f t="shared" si="22"/>
        <v>3.0760000000000001</v>
      </c>
      <c r="V19">
        <f t="shared" si="23"/>
        <v>0.54550585321862088</v>
      </c>
      <c r="W19">
        <f t="shared" si="12"/>
        <v>13.14238022976464</v>
      </c>
      <c r="X19">
        <f t="shared" si="13"/>
        <v>3935.3345296194498</v>
      </c>
      <c r="Y19">
        <v>15</v>
      </c>
    </row>
    <row r="20" spans="1:25" x14ac:dyDescent="0.3">
      <c r="A20">
        <v>1966</v>
      </c>
      <c r="B20">
        <v>100.499681415417</v>
      </c>
      <c r="C20">
        <f t="shared" si="11"/>
        <v>3.6999999999999998E-2</v>
      </c>
      <c r="D20">
        <f t="shared" si="18"/>
        <v>7.6202962801464338</v>
      </c>
      <c r="E20">
        <f t="shared" si="19"/>
        <v>0.35256830976719644</v>
      </c>
      <c r="F20">
        <v>3407923</v>
      </c>
      <c r="G20">
        <v>3.4079229999999998</v>
      </c>
      <c r="H20">
        <v>21.6136733479483</v>
      </c>
      <c r="I20">
        <v>3.2189999999999999</v>
      </c>
      <c r="J20">
        <v>0.23300931765481908</v>
      </c>
      <c r="K20">
        <v>0.20333333333333334</v>
      </c>
      <c r="L20">
        <f t="shared" si="14"/>
        <v>0.20333333333333334</v>
      </c>
      <c r="M20">
        <f t="shared" si="15"/>
        <v>9.7572888888888907E-5</v>
      </c>
      <c r="N20">
        <v>0</v>
      </c>
      <c r="O20">
        <v>704.88356281053461</v>
      </c>
      <c r="P20">
        <f t="shared" si="16"/>
        <v>21.615782462288738</v>
      </c>
      <c r="Q20">
        <f t="shared" si="20"/>
        <v>0.54563909590488979</v>
      </c>
      <c r="R20">
        <f t="shared" si="17"/>
        <v>12.890432247535603</v>
      </c>
      <c r="S20">
        <f t="shared" si="21"/>
        <v>1.6768857744410588</v>
      </c>
      <c r="T20">
        <v>0</v>
      </c>
      <c r="U20">
        <f t="shared" si="22"/>
        <v>3.2189999999999999</v>
      </c>
      <c r="V20">
        <f t="shared" si="23"/>
        <v>0.54563909590488979</v>
      </c>
      <c r="W20">
        <f t="shared" si="12"/>
        <v>13.993377067801866</v>
      </c>
      <c r="X20">
        <f t="shared" si="13"/>
        <v>4106.1306454992873</v>
      </c>
      <c r="Y20">
        <v>16</v>
      </c>
    </row>
    <row r="21" spans="1:25" x14ac:dyDescent="0.3">
      <c r="A21">
        <v>1967</v>
      </c>
      <c r="B21">
        <v>104.401489483193</v>
      </c>
      <c r="C21">
        <f t="shared" si="11"/>
        <v>3.6999999999999998E-2</v>
      </c>
      <c r="D21">
        <f t="shared" si="18"/>
        <v>8.0873765219981379</v>
      </c>
      <c r="E21">
        <f t="shared" si="19"/>
        <v>0.36108513958599381</v>
      </c>
      <c r="F21">
        <v>3478770</v>
      </c>
      <c r="G21">
        <v>3.4787699999999999</v>
      </c>
      <c r="H21">
        <v>22.397422755394501</v>
      </c>
      <c r="I21">
        <v>3.3220000000000001</v>
      </c>
      <c r="J21">
        <v>0.24092096073839209</v>
      </c>
      <c r="K21">
        <v>0.21666666666666667</v>
      </c>
      <c r="L21">
        <f t="shared" si="14"/>
        <v>0.21666666666666667</v>
      </c>
      <c r="M21">
        <f t="shared" si="15"/>
        <v>1.1078888888888891E-4</v>
      </c>
      <c r="N21">
        <v>0</v>
      </c>
      <c r="O21">
        <v>701.32336510683365</v>
      </c>
      <c r="P21">
        <f t="shared" si="16"/>
        <v>22.399904415915959</v>
      </c>
      <c r="Q21">
        <f t="shared" si="20"/>
        <v>0.54338660442459219</v>
      </c>
      <c r="R21">
        <f t="shared" si="17"/>
        <v>13.24932090732033</v>
      </c>
      <c r="S21">
        <f t="shared" si="21"/>
        <v>1.6906454732740208</v>
      </c>
      <c r="T21">
        <v>0</v>
      </c>
      <c r="U21">
        <f t="shared" si="22"/>
        <v>3.3220000000000001</v>
      </c>
      <c r="V21">
        <f t="shared" si="23"/>
        <v>0.54338660442459219</v>
      </c>
      <c r="W21">
        <f t="shared" si="12"/>
        <v>14.310046233396363</v>
      </c>
      <c r="X21">
        <f t="shared" si="13"/>
        <v>4113.5361732440961</v>
      </c>
      <c r="Y21">
        <v>17</v>
      </c>
    </row>
    <row r="22" spans="1:25" x14ac:dyDescent="0.3">
      <c r="A22">
        <v>1968</v>
      </c>
      <c r="B22">
        <v>108.626010894313</v>
      </c>
      <c r="C22">
        <f t="shared" si="11"/>
        <v>3.6999999999999998E-2</v>
      </c>
      <c r="D22">
        <f t="shared" si="18"/>
        <v>8.6501723046055901</v>
      </c>
      <c r="E22">
        <f t="shared" si="19"/>
        <v>0.36720854157933774</v>
      </c>
      <c r="F22">
        <v>3551599</v>
      </c>
      <c r="G22">
        <v>3.551599</v>
      </c>
      <c r="H22">
        <v>23.556566161020701</v>
      </c>
      <c r="I22">
        <v>3.5030000000000001</v>
      </c>
      <c r="J22">
        <v>0.24945799577720107</v>
      </c>
      <c r="K22">
        <v>0.17333333333333334</v>
      </c>
      <c r="L22">
        <f t="shared" si="14"/>
        <v>0.17333333333333334</v>
      </c>
      <c r="M22">
        <f t="shared" si="15"/>
        <v>7.0904888888888897E-5</v>
      </c>
      <c r="N22">
        <v>0</v>
      </c>
      <c r="O22">
        <v>697.78114910728664</v>
      </c>
      <c r="P22">
        <f t="shared" si="16"/>
        <v>23.558236555166062</v>
      </c>
      <c r="Q22">
        <f t="shared" si="20"/>
        <v>0.54481972663549938</v>
      </c>
      <c r="R22">
        <f t="shared" si="17"/>
        <v>13.627835761300636</v>
      </c>
      <c r="S22">
        <f t="shared" si="21"/>
        <v>1.7286850948163812</v>
      </c>
      <c r="T22">
        <v>0</v>
      </c>
      <c r="U22">
        <f t="shared" si="22"/>
        <v>3.5030000000000001</v>
      </c>
      <c r="V22">
        <f t="shared" si="23"/>
        <v>0.54481972663549938</v>
      </c>
      <c r="W22">
        <f t="shared" si="12"/>
        <v>14.906393856415111</v>
      </c>
      <c r="X22">
        <f t="shared" si="13"/>
        <v>4197.0937193120935</v>
      </c>
      <c r="Y22">
        <v>18</v>
      </c>
    </row>
    <row r="23" spans="1:25" x14ac:dyDescent="0.3">
      <c r="A23">
        <v>1969</v>
      </c>
      <c r="B23">
        <v>113.25702079582901</v>
      </c>
      <c r="C23">
        <f t="shared" si="11"/>
        <v>3.6999999999999998E-2</v>
      </c>
      <c r="D23">
        <f t="shared" si="18"/>
        <v>9.2635440706606715</v>
      </c>
      <c r="E23">
        <f t="shared" si="19"/>
        <v>0.37263600572608641</v>
      </c>
      <c r="F23">
        <v>3625681</v>
      </c>
      <c r="G23">
        <v>3.6256810000000002</v>
      </c>
      <c r="H23">
        <v>24.8594980847611</v>
      </c>
      <c r="I23">
        <v>3.7370000000000001</v>
      </c>
      <c r="J23">
        <v>0.25898328487018207</v>
      </c>
      <c r="K23">
        <v>0.3133333333333333</v>
      </c>
      <c r="L23">
        <f t="shared" si="14"/>
        <v>0.3133333333333333</v>
      </c>
      <c r="M23">
        <f t="shared" si="15"/>
        <v>2.316995555555555E-4</v>
      </c>
      <c r="N23">
        <v>0</v>
      </c>
      <c r="O23">
        <v>694.25682399062146</v>
      </c>
      <c r="P23">
        <f t="shared" si="16"/>
        <v>24.865259354302264</v>
      </c>
      <c r="Q23">
        <f t="shared" si="20"/>
        <v>0.55066258529215395</v>
      </c>
      <c r="R23">
        <f t="shared" si="17"/>
        <v>14.028003670147447</v>
      </c>
      <c r="S23">
        <f t="shared" si="21"/>
        <v>1.7725444003994124</v>
      </c>
      <c r="T23">
        <v>0</v>
      </c>
      <c r="U23">
        <f t="shared" si="22"/>
        <v>3.7370000000000001</v>
      </c>
      <c r="V23">
        <f t="shared" si="23"/>
        <v>0.55066258529215395</v>
      </c>
      <c r="W23">
        <f t="shared" si="12"/>
        <v>15.595954014100428</v>
      </c>
      <c r="X23">
        <f t="shared" si="13"/>
        <v>4301.5240486133298</v>
      </c>
      <c r="Y23">
        <v>19</v>
      </c>
    </row>
    <row r="24" spans="1:25" x14ac:dyDescent="0.3">
      <c r="A24">
        <v>1970</v>
      </c>
      <c r="B24">
        <v>118.330055097044</v>
      </c>
      <c r="C24">
        <f t="shared" si="11"/>
        <v>3.6999999999999998E-2</v>
      </c>
      <c r="D24">
        <f t="shared" si="18"/>
        <v>9.5942981417866378</v>
      </c>
      <c r="E24">
        <f t="shared" si="19"/>
        <v>0.37265414043536316</v>
      </c>
      <c r="F24">
        <v>3700437</v>
      </c>
      <c r="G24">
        <v>3.700437</v>
      </c>
      <c r="H24">
        <v>25.7458514497594</v>
      </c>
      <c r="I24">
        <v>4.0469999999999997</v>
      </c>
      <c r="J24">
        <v>0.27030705835588709</v>
      </c>
      <c r="K24">
        <v>0.26666666666666666</v>
      </c>
      <c r="L24">
        <f t="shared" si="14"/>
        <v>0.26666666666666666</v>
      </c>
      <c r="M24">
        <f t="shared" si="15"/>
        <v>1.6782222222222224E-4</v>
      </c>
      <c r="N24">
        <v>0</v>
      </c>
      <c r="O24">
        <v>690.75029939428259</v>
      </c>
      <c r="P24">
        <f t="shared" si="16"/>
        <v>25.750172900998251</v>
      </c>
      <c r="Q24">
        <f t="shared" si="20"/>
        <v>0.57584887126816764</v>
      </c>
      <c r="R24">
        <f t="shared" si="17"/>
        <v>14.449608658264546</v>
      </c>
      <c r="S24">
        <f t="shared" si="21"/>
        <v>1.7820671486677444</v>
      </c>
      <c r="T24">
        <v>0</v>
      </c>
      <c r="U24">
        <f t="shared" si="22"/>
        <v>4.0469999999999997</v>
      </c>
      <c r="V24">
        <f t="shared" si="23"/>
        <v>0.57584887126816764</v>
      </c>
      <c r="W24">
        <f t="shared" si="12"/>
        <v>16.151553307972762</v>
      </c>
      <c r="X24">
        <f t="shared" si="13"/>
        <v>4364.7691632022816</v>
      </c>
      <c r="Y24">
        <v>20</v>
      </c>
    </row>
    <row r="25" spans="1:25" x14ac:dyDescent="0.3">
      <c r="A25">
        <v>1971</v>
      </c>
      <c r="B25">
        <v>123.54614120024</v>
      </c>
      <c r="C25">
        <f t="shared" si="11"/>
        <v>3.6999999999999998E-2</v>
      </c>
      <c r="D25">
        <f t="shared" si="18"/>
        <v>10.092095550967869</v>
      </c>
      <c r="E25">
        <f t="shared" si="19"/>
        <v>0.37493438166694137</v>
      </c>
      <c r="F25">
        <v>3775760</v>
      </c>
      <c r="G25">
        <v>3.77576</v>
      </c>
      <c r="H25">
        <v>26.9169647928762</v>
      </c>
      <c r="I25">
        <v>4.21</v>
      </c>
      <c r="J25">
        <v>0.28395692299753406</v>
      </c>
      <c r="K25">
        <v>0.13666666666666669</v>
      </c>
      <c r="L25">
        <f t="shared" si="14"/>
        <v>0.13666666666666669</v>
      </c>
      <c r="M25">
        <f t="shared" si="15"/>
        <v>4.4079555555555568E-5</v>
      </c>
      <c r="N25">
        <v>0</v>
      </c>
      <c r="O25">
        <v>687.26148541211387</v>
      </c>
      <c r="P25">
        <f t="shared" si="16"/>
        <v>26.918151333023335</v>
      </c>
      <c r="Q25">
        <f t="shared" si="20"/>
        <v>0.57304975401769087</v>
      </c>
      <c r="R25">
        <f t="shared" si="17"/>
        <v>14.87756995375517</v>
      </c>
      <c r="S25">
        <f t="shared" si="21"/>
        <v>1.8093110243604711</v>
      </c>
      <c r="T25">
        <v>0</v>
      </c>
      <c r="U25">
        <f t="shared" si="22"/>
        <v>4.21</v>
      </c>
      <c r="V25">
        <f t="shared" si="23"/>
        <v>0.57304975401769087</v>
      </c>
      <c r="W25">
        <f t="shared" si="12"/>
        <v>16.824869241908331</v>
      </c>
      <c r="X25">
        <f t="shared" si="13"/>
        <v>4456.0218980836526</v>
      </c>
      <c r="Y25">
        <v>21</v>
      </c>
    </row>
    <row r="26" spans="1:25" x14ac:dyDescent="0.3">
      <c r="A26">
        <v>1972</v>
      </c>
      <c r="B26">
        <v>129.06702952679899</v>
      </c>
      <c r="C26">
        <f t="shared" si="11"/>
        <v>3.6999999999999998E-2</v>
      </c>
      <c r="D26">
        <f t="shared" si="18"/>
        <v>10.723194404733562</v>
      </c>
      <c r="E26">
        <f t="shared" si="19"/>
        <v>0.37892603562553473</v>
      </c>
      <c r="F26">
        <v>3851651</v>
      </c>
      <c r="G26">
        <v>3.8516509999999999</v>
      </c>
      <c r="H26">
        <v>28.298911651799301</v>
      </c>
      <c r="I26">
        <v>4.4059999999999997</v>
      </c>
      <c r="J26">
        <v>0.29904909004258506</v>
      </c>
      <c r="K26">
        <v>0.24333333333333332</v>
      </c>
      <c r="L26">
        <f t="shared" si="14"/>
        <v>0.24333333333333332</v>
      </c>
      <c r="M26">
        <f t="shared" si="15"/>
        <v>1.3973822222222221E-4</v>
      </c>
      <c r="N26">
        <v>0</v>
      </c>
      <c r="O26">
        <v>683.79029259205379</v>
      </c>
      <c r="P26">
        <f t="shared" si="16"/>
        <v>28.302866644067937</v>
      </c>
      <c r="Q26">
        <f t="shared" si="20"/>
        <v>0.57038688706055762</v>
      </c>
      <c r="R26">
        <f t="shared" si="17"/>
        <v>15.319371631356301</v>
      </c>
      <c r="S26">
        <f t="shared" si="21"/>
        <v>1.8475213817606266</v>
      </c>
      <c r="T26">
        <v>0</v>
      </c>
      <c r="U26">
        <f t="shared" si="22"/>
        <v>4.4059999999999997</v>
      </c>
      <c r="V26">
        <f t="shared" si="23"/>
        <v>0.57038688706055762</v>
      </c>
      <c r="W26">
        <f t="shared" si="12"/>
        <v>17.575717247065739</v>
      </c>
      <c r="X26">
        <f t="shared" si="13"/>
        <v>4563.1645356928075</v>
      </c>
      <c r="Y26">
        <v>22</v>
      </c>
    </row>
    <row r="27" spans="1:25" x14ac:dyDescent="0.3">
      <c r="A27">
        <v>1973</v>
      </c>
      <c r="B27">
        <v>135.01474383904099</v>
      </c>
      <c r="C27">
        <f t="shared" si="11"/>
        <v>3.6999999999999998E-2</v>
      </c>
      <c r="D27">
        <f t="shared" si="18"/>
        <v>10.628154856102526</v>
      </c>
      <c r="E27">
        <f t="shared" si="19"/>
        <v>0.35391254459383387</v>
      </c>
      <c r="F27">
        <v>3927781</v>
      </c>
      <c r="G27">
        <v>3.927781</v>
      </c>
      <c r="H27">
        <v>30.0304553157331</v>
      </c>
      <c r="I27">
        <v>4.6399999999999997</v>
      </c>
      <c r="J27">
        <v>0.31429247822931705</v>
      </c>
      <c r="K27">
        <v>0.38666666666666671</v>
      </c>
      <c r="L27">
        <f t="shared" si="14"/>
        <v>0.38666666666666671</v>
      </c>
      <c r="M27">
        <f t="shared" si="15"/>
        <v>3.5284622222222232E-4</v>
      </c>
      <c r="N27">
        <v>0</v>
      </c>
      <c r="O27">
        <v>680.33663193384155</v>
      </c>
      <c r="P27">
        <f t="shared" si="16"/>
        <v>30.041055188567956</v>
      </c>
      <c r="Q27">
        <f t="shared" si="20"/>
        <v>0.56592419584747711</v>
      </c>
      <c r="R27">
        <f t="shared" si="17"/>
        <v>15.779437562444452</v>
      </c>
      <c r="S27">
        <f t="shared" si="21"/>
        <v>1.9038102638123551</v>
      </c>
      <c r="T27">
        <v>0</v>
      </c>
      <c r="U27">
        <f t="shared" si="22"/>
        <v>4.6399999999999997</v>
      </c>
      <c r="V27">
        <f t="shared" si="23"/>
        <v>0.56592419584747711</v>
      </c>
      <c r="W27">
        <f t="shared" si="12"/>
        <v>19.402300459630574</v>
      </c>
      <c r="X27">
        <f t="shared" si="13"/>
        <v>4939.7612696916076</v>
      </c>
      <c r="Y27">
        <v>23</v>
      </c>
    </row>
    <row r="28" spans="1:25" x14ac:dyDescent="0.3">
      <c r="A28">
        <v>1974</v>
      </c>
      <c r="B28">
        <v>140.64735317309899</v>
      </c>
      <c r="C28">
        <f t="shared" si="11"/>
        <v>3.6999999999999998E-2</v>
      </c>
      <c r="D28">
        <f t="shared" si="18"/>
        <v>10.670187847670661</v>
      </c>
      <c r="E28">
        <f t="shared" si="19"/>
        <v>0.34607415801173252</v>
      </c>
      <c r="F28">
        <v>4003794</v>
      </c>
      <c r="G28">
        <v>4.0037940000000001</v>
      </c>
      <c r="H28">
        <v>30.8320849755818</v>
      </c>
      <c r="I28">
        <v>4.62</v>
      </c>
      <c r="J28">
        <v>0.32939499569626307</v>
      </c>
      <c r="K28">
        <v>0.13333333333333333</v>
      </c>
      <c r="L28">
        <f t="shared" si="14"/>
        <v>0.13333333333333333</v>
      </c>
      <c r="M28">
        <f t="shared" si="15"/>
        <v>4.195555555555556E-5</v>
      </c>
      <c r="N28">
        <v>0</v>
      </c>
      <c r="O28">
        <v>676.90041488673535</v>
      </c>
      <c r="P28">
        <f t="shared" si="16"/>
        <v>30.833378607110916</v>
      </c>
      <c r="Q28">
        <f t="shared" si="20"/>
        <v>0.5490050317124856</v>
      </c>
      <c r="R28">
        <f t="shared" si="17"/>
        <v>16.222643108392564</v>
      </c>
      <c r="S28">
        <f t="shared" si="21"/>
        <v>1.9006384102205691</v>
      </c>
      <c r="T28">
        <v>0</v>
      </c>
      <c r="U28">
        <f t="shared" si="22"/>
        <v>4.62</v>
      </c>
      <c r="V28">
        <f t="shared" si="23"/>
        <v>0.5490050317124856</v>
      </c>
      <c r="W28">
        <f t="shared" si="12"/>
        <v>20.161897127911139</v>
      </c>
      <c r="X28">
        <f t="shared" si="13"/>
        <v>5035.6979224982952</v>
      </c>
      <c r="Y28">
        <v>24</v>
      </c>
    </row>
    <row r="29" spans="1:25" x14ac:dyDescent="0.3">
      <c r="A29">
        <v>1975</v>
      </c>
      <c r="B29">
        <v>146.113588953365</v>
      </c>
      <c r="C29">
        <f t="shared" si="11"/>
        <v>3.6999999999999998E-2</v>
      </c>
      <c r="D29">
        <f t="shared" si="18"/>
        <v>11.23523481345353</v>
      </c>
      <c r="E29">
        <f t="shared" si="19"/>
        <v>0.35971816104321924</v>
      </c>
      <c r="F29">
        <v>4079480</v>
      </c>
      <c r="G29">
        <v>4.0794800000000002</v>
      </c>
      <c r="H29">
        <v>31.233437813843501</v>
      </c>
      <c r="I29">
        <v>4.6130000000000004</v>
      </c>
      <c r="J29">
        <v>0.34441821314475207</v>
      </c>
      <c r="K29">
        <v>0.20000000000000004</v>
      </c>
      <c r="L29">
        <f t="shared" si="14"/>
        <v>0.20000000000000004</v>
      </c>
      <c r="M29">
        <f t="shared" si="15"/>
        <v>9.4400000000000045E-5</v>
      </c>
      <c r="N29">
        <v>0</v>
      </c>
      <c r="O29">
        <v>673.48155334724197</v>
      </c>
      <c r="P29">
        <f t="shared" si="16"/>
        <v>31.236386528731817</v>
      </c>
      <c r="Q29">
        <f t="shared" si="20"/>
        <v>0.54110074430194399</v>
      </c>
      <c r="R29">
        <f t="shared" si="17"/>
        <v>16.65586611307014</v>
      </c>
      <c r="S29">
        <f t="shared" si="21"/>
        <v>1.875398512252695</v>
      </c>
      <c r="T29">
        <v>0</v>
      </c>
      <c r="U29">
        <f t="shared" si="22"/>
        <v>4.6130000000000004</v>
      </c>
      <c r="V29">
        <f t="shared" si="23"/>
        <v>0.54110074430194399</v>
      </c>
      <c r="W29">
        <f t="shared" si="12"/>
        <v>19.998203000389971</v>
      </c>
      <c r="X29">
        <f t="shared" si="13"/>
        <v>4902.1451264352254</v>
      </c>
      <c r="Y29">
        <v>25</v>
      </c>
    </row>
    <row r="30" spans="1:25" x14ac:dyDescent="0.3">
      <c r="A30">
        <v>1976</v>
      </c>
      <c r="B30">
        <v>151.942620975544</v>
      </c>
      <c r="C30">
        <f t="shared" si="11"/>
        <v>3.6999999999999998E-2</v>
      </c>
      <c r="D30">
        <f t="shared" si="18"/>
        <v>11.666789388088148</v>
      </c>
      <c r="E30">
        <f t="shared" si="19"/>
        <v>0.35574389885321456</v>
      </c>
      <c r="F30">
        <v>4154667</v>
      </c>
      <c r="G30">
        <v>4.1546669999999999</v>
      </c>
      <c r="H30">
        <v>32.795472882873099</v>
      </c>
      <c r="I30">
        <v>4.8579999999999997</v>
      </c>
      <c r="J30">
        <v>0.35907442263569006</v>
      </c>
      <c r="K30">
        <v>0.11</v>
      </c>
      <c r="L30">
        <f t="shared" si="14"/>
        <v>0.11</v>
      </c>
      <c r="M30">
        <f t="shared" si="15"/>
        <v>2.8555999999999999E-5</v>
      </c>
      <c r="N30">
        <v>0</v>
      </c>
      <c r="O30">
        <v>670.0799596568578</v>
      </c>
      <c r="P30">
        <f t="shared" si="16"/>
        <v>32.796409417140417</v>
      </c>
      <c r="Q30">
        <f t="shared" si="20"/>
        <v>0.54273355883578278</v>
      </c>
      <c r="R30">
        <f t="shared" si="17"/>
        <v>17.10249499636938</v>
      </c>
      <c r="S30">
        <f t="shared" si="21"/>
        <v>1.9176388839232308</v>
      </c>
      <c r="T30">
        <v>0</v>
      </c>
      <c r="U30">
        <f t="shared" si="22"/>
        <v>4.8579999999999997</v>
      </c>
      <c r="V30">
        <f t="shared" si="23"/>
        <v>0.54273355883578278</v>
      </c>
      <c r="W30">
        <f t="shared" si="12"/>
        <v>21.128683494784951</v>
      </c>
      <c r="X30">
        <f t="shared" si="13"/>
        <v>5085.5299581855661</v>
      </c>
      <c r="Y30">
        <v>26</v>
      </c>
    </row>
    <row r="31" spans="1:25" x14ac:dyDescent="0.3">
      <c r="A31">
        <v>1977</v>
      </c>
      <c r="B31">
        <v>157.98753338753701</v>
      </c>
      <c r="C31">
        <f t="shared" si="11"/>
        <v>3.6999999999999998E-2</v>
      </c>
      <c r="D31">
        <f t="shared" si="18"/>
        <v>12.159210703761858</v>
      </c>
      <c r="E31">
        <f t="shared" si="19"/>
        <v>0.3563936931077582</v>
      </c>
      <c r="F31">
        <v>4229506</v>
      </c>
      <c r="G31">
        <v>4.2295059999999998</v>
      </c>
      <c r="H31">
        <v>34.117356560755503</v>
      </c>
      <c r="I31">
        <v>4.9909999999999997</v>
      </c>
      <c r="J31">
        <v>0.37335356416290605</v>
      </c>
      <c r="K31">
        <v>0.39333333333333337</v>
      </c>
      <c r="L31">
        <f t="shared" si="14"/>
        <v>0.39333333333333337</v>
      </c>
      <c r="M31">
        <f t="shared" si="15"/>
        <v>3.6511822222222228E-4</v>
      </c>
      <c r="N31">
        <v>0</v>
      </c>
      <c r="O31">
        <v>666.69554659982134</v>
      </c>
      <c r="P31">
        <f t="shared" si="16"/>
        <v>34.129817979220846</v>
      </c>
      <c r="Q31">
        <f t="shared" si="20"/>
        <v>0.53580783850454849</v>
      </c>
      <c r="R31">
        <f t="shared" si="17"/>
        <v>17.556005279932656</v>
      </c>
      <c r="S31">
        <f t="shared" si="21"/>
        <v>1.9440537545424894</v>
      </c>
      <c r="T31">
        <v>0</v>
      </c>
      <c r="U31">
        <f t="shared" si="22"/>
        <v>4.9909999999999997</v>
      </c>
      <c r="V31">
        <f t="shared" si="23"/>
        <v>0.53580783850454849</v>
      </c>
      <c r="W31">
        <f t="shared" si="12"/>
        <v>21.958145856993646</v>
      </c>
      <c r="X31">
        <f t="shared" si="13"/>
        <v>5191.6573370492069</v>
      </c>
      <c r="Y31">
        <v>27</v>
      </c>
    </row>
    <row r="32" spans="1:25" x14ac:dyDescent="0.3">
      <c r="A32">
        <v>1978</v>
      </c>
      <c r="B32">
        <v>164.30120535596001</v>
      </c>
      <c r="C32">
        <f t="shared" si="11"/>
        <v>3.6999999999999998E-2</v>
      </c>
      <c r="D32">
        <f t="shared" si="18"/>
        <v>12.405290088564527</v>
      </c>
      <c r="E32">
        <f t="shared" si="19"/>
        <v>0.34958702208100312</v>
      </c>
      <c r="F32">
        <v>4304534</v>
      </c>
      <c r="G32">
        <v>4.3045340000000003</v>
      </c>
      <c r="H32">
        <v>35.485556685482699</v>
      </c>
      <c r="I32">
        <v>5.1740000000000004</v>
      </c>
      <c r="J32">
        <v>0.38803470943695506</v>
      </c>
      <c r="K32">
        <v>0.28999999999999998</v>
      </c>
      <c r="L32">
        <f t="shared" si="14"/>
        <v>0.28999999999999998</v>
      </c>
      <c r="M32">
        <f t="shared" si="15"/>
        <v>1.98476E-4</v>
      </c>
      <c r="N32">
        <v>0</v>
      </c>
      <c r="O32">
        <v>663.32822740087681</v>
      </c>
      <c r="P32">
        <f t="shared" si="16"/>
        <v>35.492601114981596</v>
      </c>
      <c r="Q32">
        <f t="shared" si="20"/>
        <v>0.53412642084431328</v>
      </c>
      <c r="R32">
        <f t="shared" si="17"/>
        <v>18.019815959411037</v>
      </c>
      <c r="S32">
        <f t="shared" si="21"/>
        <v>1.9696428196007858</v>
      </c>
      <c r="T32">
        <v>0</v>
      </c>
      <c r="U32">
        <f t="shared" si="22"/>
        <v>5.1740000000000004</v>
      </c>
      <c r="V32">
        <f t="shared" si="23"/>
        <v>0.53412642084431328</v>
      </c>
      <c r="W32">
        <f t="shared" si="12"/>
        <v>23.080266596918172</v>
      </c>
      <c r="X32">
        <f t="shared" si="13"/>
        <v>5361.850225115697</v>
      </c>
      <c r="Y32">
        <v>28</v>
      </c>
    </row>
    <row r="33" spans="1:25" x14ac:dyDescent="0.3">
      <c r="A33">
        <v>1979</v>
      </c>
      <c r="B33">
        <v>170.62735084635401</v>
      </c>
      <c r="C33">
        <f t="shared" si="11"/>
        <v>3.6999999999999998E-2</v>
      </c>
      <c r="D33">
        <f t="shared" si="18"/>
        <v>12.574402192116111</v>
      </c>
      <c r="E33">
        <f t="shared" si="19"/>
        <v>0.34062385246895577</v>
      </c>
      <c r="F33">
        <v>4380506</v>
      </c>
      <c r="G33">
        <v>4.3805059999999996</v>
      </c>
      <c r="H33">
        <v>36.9158005259251</v>
      </c>
      <c r="I33">
        <v>5.3120000000000003</v>
      </c>
      <c r="J33">
        <v>0.40376070099862205</v>
      </c>
      <c r="K33">
        <v>0.39666666666666667</v>
      </c>
      <c r="L33">
        <f t="shared" si="14"/>
        <v>0.39666666666666667</v>
      </c>
      <c r="M33">
        <f t="shared" si="15"/>
        <v>3.7133288888888892E-4</v>
      </c>
      <c r="N33">
        <v>0</v>
      </c>
      <c r="O33">
        <v>659.97791572304948</v>
      </c>
      <c r="P33">
        <f t="shared" si="16"/>
        <v>36.929513668921039</v>
      </c>
      <c r="Q33">
        <f t="shared" si="20"/>
        <v>0.52703558932539429</v>
      </c>
      <c r="R33">
        <f t="shared" si="17"/>
        <v>18.484678273905402</v>
      </c>
      <c r="S33">
        <f t="shared" si="21"/>
        <v>1.9978445457205489</v>
      </c>
      <c r="T33">
        <v>0</v>
      </c>
      <c r="U33">
        <f t="shared" si="22"/>
        <v>5.3120000000000003</v>
      </c>
      <c r="V33">
        <f t="shared" si="23"/>
        <v>0.52703558932539429</v>
      </c>
      <c r="W33">
        <f t="shared" si="12"/>
        <v>24.341398333808989</v>
      </c>
      <c r="X33">
        <f t="shared" si="13"/>
        <v>5556.7549351168545</v>
      </c>
      <c r="Y33">
        <v>29</v>
      </c>
    </row>
    <row r="34" spans="1:25" x14ac:dyDescent="0.3">
      <c r="A34">
        <v>1980</v>
      </c>
      <c r="B34">
        <v>176.88854105715501</v>
      </c>
      <c r="C34">
        <f t="shared" si="11"/>
        <v>3.6999999999999998E-2</v>
      </c>
      <c r="D34">
        <f t="shared" si="18"/>
        <v>12.531789548941731</v>
      </c>
      <c r="E34">
        <f t="shared" si="19"/>
        <v>0.33207424099401828</v>
      </c>
      <c r="F34">
        <v>4458003</v>
      </c>
      <c r="G34">
        <v>4.4580029999999997</v>
      </c>
      <c r="H34">
        <v>37.737915206640402</v>
      </c>
      <c r="I34">
        <v>5.2859999999999996</v>
      </c>
      <c r="J34">
        <v>0.41997442491786102</v>
      </c>
      <c r="K34">
        <v>0.45999999999999996</v>
      </c>
      <c r="L34">
        <f t="shared" si="14"/>
        <v>0.45999999999999996</v>
      </c>
      <c r="M34">
        <f t="shared" si="15"/>
        <v>4.9937599999999994E-4</v>
      </c>
      <c r="N34">
        <v>0</v>
      </c>
      <c r="O34">
        <v>656.64452566543207</v>
      </c>
      <c r="P34">
        <f t="shared" si="16"/>
        <v>37.756770031431621</v>
      </c>
      <c r="Q34">
        <f t="shared" si="20"/>
        <v>0.51296506517577312</v>
      </c>
      <c r="R34">
        <f t="shared" si="17"/>
        <v>18.94902142457908</v>
      </c>
      <c r="S34">
        <f t="shared" si="21"/>
        <v>1.9925445850442023</v>
      </c>
      <c r="T34">
        <v>0</v>
      </c>
      <c r="U34">
        <f t="shared" si="22"/>
        <v>5.2859999999999996</v>
      </c>
      <c r="V34">
        <f t="shared" si="23"/>
        <v>0.51296506517577312</v>
      </c>
      <c r="W34">
        <f t="shared" si="12"/>
        <v>25.206125657698671</v>
      </c>
      <c r="X34">
        <f t="shared" si="13"/>
        <v>5654.1293618911131</v>
      </c>
      <c r="Y34">
        <v>30</v>
      </c>
    </row>
    <row r="35" spans="1:25" x14ac:dyDescent="0.3">
      <c r="A35">
        <v>1981</v>
      </c>
      <c r="B35">
        <v>182.87545458698199</v>
      </c>
      <c r="C35">
        <f t="shared" si="11"/>
        <v>3.6999999999999998E-2</v>
      </c>
      <c r="D35">
        <f t="shared" si="18"/>
        <v>12.170436041875348</v>
      </c>
      <c r="E35">
        <f t="shared" si="19"/>
        <v>0.31643924657132028</v>
      </c>
      <c r="F35">
        <v>4536997</v>
      </c>
      <c r="G35">
        <v>4.5369970000000004</v>
      </c>
      <c r="H35">
        <v>38.460577105224303</v>
      </c>
      <c r="I35">
        <v>5.1420000000000003</v>
      </c>
      <c r="J35">
        <v>0.43570374917008109</v>
      </c>
      <c r="K35">
        <v>0.51</v>
      </c>
      <c r="L35">
        <f t="shared" si="14"/>
        <v>0.51</v>
      </c>
      <c r="M35">
        <f t="shared" si="15"/>
        <v>6.1383599999999998E-4</v>
      </c>
      <c r="N35">
        <v>0</v>
      </c>
      <c r="O35">
        <v>653.32797176098211</v>
      </c>
      <c r="P35">
        <f t="shared" si="16"/>
        <v>38.484200092672388</v>
      </c>
      <c r="Q35">
        <f t="shared" si="20"/>
        <v>0.48955903863485262</v>
      </c>
      <c r="R35">
        <f t="shared" si="17"/>
        <v>19.404348714667488</v>
      </c>
      <c r="S35">
        <f t="shared" si="21"/>
        <v>1.9832770817802658</v>
      </c>
      <c r="T35">
        <v>0</v>
      </c>
      <c r="U35">
        <f t="shared" si="22"/>
        <v>5.1420000000000003</v>
      </c>
      <c r="V35">
        <f t="shared" si="23"/>
        <v>0.48955903863485262</v>
      </c>
      <c r="W35">
        <f t="shared" si="12"/>
        <v>26.290141063348955</v>
      </c>
      <c r="X35">
        <f t="shared" si="13"/>
        <v>5794.6128382604074</v>
      </c>
      <c r="Y35">
        <v>31</v>
      </c>
    </row>
    <row r="36" spans="1:25" x14ac:dyDescent="0.3">
      <c r="A36">
        <v>1982</v>
      </c>
      <c r="B36">
        <v>188.279498809139</v>
      </c>
      <c r="C36">
        <f t="shared" si="11"/>
        <v>3.6999999999999998E-2</v>
      </c>
      <c r="D36">
        <f t="shared" si="18"/>
        <v>12.166524578445149</v>
      </c>
      <c r="E36">
        <f t="shared" si="19"/>
        <v>0.31404645774439183</v>
      </c>
      <c r="F36">
        <v>4617387</v>
      </c>
      <c r="G36">
        <v>4.6173869999999999</v>
      </c>
      <c r="H36">
        <v>38.741161628855899</v>
      </c>
      <c r="I36">
        <v>5.1040000000000001</v>
      </c>
      <c r="J36">
        <v>0.45048021867990012</v>
      </c>
      <c r="K36">
        <v>0.36333333333333334</v>
      </c>
      <c r="L36">
        <f t="shared" si="14"/>
        <v>0.36333333333333334</v>
      </c>
      <c r="M36">
        <f t="shared" si="15"/>
        <v>3.1154622222222223E-4</v>
      </c>
      <c r="N36">
        <v>0</v>
      </c>
      <c r="O36">
        <v>650.02816897433058</v>
      </c>
      <c r="P36">
        <f t="shared" si="16"/>
        <v>38.7532350528355</v>
      </c>
      <c r="Q36">
        <f t="shared" si="20"/>
        <v>0.48256760950416916</v>
      </c>
      <c r="R36">
        <f t="shared" si="17"/>
        <v>19.8381109913574</v>
      </c>
      <c r="S36">
        <f t="shared" si="21"/>
        <v>1.9534740515222742</v>
      </c>
      <c r="T36">
        <v>0</v>
      </c>
      <c r="U36">
        <f t="shared" si="22"/>
        <v>5.1040000000000001</v>
      </c>
      <c r="V36">
        <f t="shared" si="23"/>
        <v>0.48256760950416916</v>
      </c>
      <c r="W36">
        <f t="shared" si="12"/>
        <v>26.57463705041075</v>
      </c>
      <c r="X36">
        <f t="shared" si="13"/>
        <v>5755.341072864534</v>
      </c>
      <c r="Y36">
        <v>32</v>
      </c>
    </row>
    <row r="37" spans="1:25" x14ac:dyDescent="0.3">
      <c r="A37">
        <v>1983</v>
      </c>
      <c r="B37">
        <v>193.47968193164601</v>
      </c>
      <c r="C37">
        <f t="shared" si="11"/>
        <v>3.6999999999999998E-2</v>
      </c>
      <c r="D37">
        <f t="shared" si="18"/>
        <v>12.500706092231894</v>
      </c>
      <c r="E37">
        <f t="shared" si="19"/>
        <v>0.31403051016512717</v>
      </c>
      <c r="F37">
        <v>4699569</v>
      </c>
      <c r="G37">
        <v>4.6995690000000003</v>
      </c>
      <c r="H37">
        <v>39.807297977698497</v>
      </c>
      <c r="I37">
        <v>5.1520000000000001</v>
      </c>
      <c r="J37">
        <v>0.46437927091169612</v>
      </c>
      <c r="K37">
        <v>0.53666666666666674</v>
      </c>
      <c r="L37">
        <f t="shared" si="14"/>
        <v>0.53666666666666674</v>
      </c>
      <c r="M37">
        <f t="shared" si="15"/>
        <v>6.7970622222222237E-4</v>
      </c>
      <c r="N37">
        <v>0</v>
      </c>
      <c r="O37">
        <v>646.74503269960178</v>
      </c>
      <c r="P37">
        <f t="shared" si="16"/>
        <v>39.834373649326267</v>
      </c>
      <c r="Q37">
        <f t="shared" si="20"/>
        <v>0.47388539772657556</v>
      </c>
      <c r="R37">
        <f t="shared" si="17"/>
        <v>20.267569063103039</v>
      </c>
      <c r="S37">
        <f t="shared" si="21"/>
        <v>1.9654243449375708</v>
      </c>
      <c r="T37">
        <v>0</v>
      </c>
      <c r="U37">
        <f t="shared" si="22"/>
        <v>5.1520000000000001</v>
      </c>
      <c r="V37">
        <f t="shared" si="23"/>
        <v>0.47388539772657556</v>
      </c>
      <c r="W37">
        <f t="shared" si="12"/>
        <v>27.306591885466602</v>
      </c>
      <c r="X37">
        <f t="shared" si="13"/>
        <v>5810.4459973811645</v>
      </c>
      <c r="Y37">
        <v>33</v>
      </c>
    </row>
    <row r="38" spans="1:25" x14ac:dyDescent="0.3">
      <c r="A38">
        <v>1984</v>
      </c>
      <c r="B38">
        <v>198.82163979240701</v>
      </c>
      <c r="C38">
        <f t="shared" si="11"/>
        <v>3.6999999999999998E-2</v>
      </c>
      <c r="D38">
        <f t="shared" si="18"/>
        <v>12.80187069660505</v>
      </c>
      <c r="E38">
        <f t="shared" si="19"/>
        <v>0.30778674942191209</v>
      </c>
      <c r="F38">
        <v>4784012</v>
      </c>
      <c r="G38">
        <v>4.7840119999999997</v>
      </c>
      <c r="H38">
        <v>41.593313294512001</v>
      </c>
      <c r="I38">
        <v>5.3019999999999996</v>
      </c>
      <c r="J38">
        <v>0.47813587452853507</v>
      </c>
      <c r="K38">
        <v>0.35333333333333333</v>
      </c>
      <c r="L38">
        <f t="shared" si="14"/>
        <v>0.35333333333333333</v>
      </c>
      <c r="M38">
        <f t="shared" si="15"/>
        <v>2.9463288888888889E-4</v>
      </c>
      <c r="N38">
        <v>0</v>
      </c>
      <c r="O38">
        <v>643.47847875824391</v>
      </c>
      <c r="P38">
        <f t="shared" si="16"/>
        <v>41.605571664285321</v>
      </c>
      <c r="Q38">
        <f t="shared" si="20"/>
        <v>0.46692130940423882</v>
      </c>
      <c r="R38">
        <f t="shared" si="17"/>
        <v>20.708345410491255</v>
      </c>
      <c r="S38">
        <f t="shared" si="21"/>
        <v>2.0091210011982472</v>
      </c>
      <c r="T38">
        <v>0</v>
      </c>
      <c r="U38">
        <f t="shared" si="22"/>
        <v>5.3019999999999996</v>
      </c>
      <c r="V38">
        <f t="shared" si="23"/>
        <v>0.46692130940423882</v>
      </c>
      <c r="W38">
        <f t="shared" si="12"/>
        <v>28.791442597906951</v>
      </c>
      <c r="X38">
        <f t="shared" si="13"/>
        <v>6018.263039036472</v>
      </c>
      <c r="Y38">
        <v>34</v>
      </c>
    </row>
    <row r="39" spans="1:25" x14ac:dyDescent="0.3">
      <c r="A39">
        <v>1985</v>
      </c>
      <c r="B39">
        <v>204.26710981669299</v>
      </c>
      <c r="C39">
        <f t="shared" si="11"/>
        <v>3.6999999999999998E-2</v>
      </c>
      <c r="D39">
        <f t="shared" si="18"/>
        <v>13.213196156450664</v>
      </c>
      <c r="E39">
        <f t="shared" si="19"/>
        <v>0.30688017441170318</v>
      </c>
      <c r="F39">
        <v>4870922</v>
      </c>
      <c r="G39">
        <v>4.8709220000000002</v>
      </c>
      <c r="H39">
        <v>43.0565323477826</v>
      </c>
      <c r="I39">
        <v>5.49</v>
      </c>
      <c r="J39">
        <v>0.49249501155403203</v>
      </c>
      <c r="K39">
        <v>0.33333333333333331</v>
      </c>
      <c r="L39">
        <f t="shared" si="14"/>
        <v>0.33333333333333331</v>
      </c>
      <c r="M39">
        <f t="shared" si="15"/>
        <v>2.6222222222222223E-4</v>
      </c>
      <c r="N39">
        <v>0</v>
      </c>
      <c r="O39">
        <v>640.22842339687088</v>
      </c>
      <c r="P39">
        <f t="shared" si="16"/>
        <v>43.067825688740982</v>
      </c>
      <c r="Q39">
        <f t="shared" si="20"/>
        <v>0.46706235288907716</v>
      </c>
      <c r="R39">
        <f t="shared" si="17"/>
        <v>21.159420819569085</v>
      </c>
      <c r="S39">
        <f t="shared" si="21"/>
        <v>2.0353971904991899</v>
      </c>
      <c r="T39">
        <v>0</v>
      </c>
      <c r="U39">
        <f t="shared" si="22"/>
        <v>5.49</v>
      </c>
      <c r="V39">
        <f t="shared" si="23"/>
        <v>0.46706235288907716</v>
      </c>
      <c r="W39">
        <f t="shared" si="12"/>
        <v>29.843336191331936</v>
      </c>
      <c r="X39">
        <f t="shared" si="13"/>
        <v>6126.8351641294885</v>
      </c>
      <c r="Y39">
        <v>35</v>
      </c>
    </row>
    <row r="40" spans="1:25" x14ac:dyDescent="0.3">
      <c r="A40">
        <v>1986</v>
      </c>
      <c r="B40">
        <v>209.92242290992601</v>
      </c>
      <c r="C40">
        <f t="shared" si="11"/>
        <v>3.6999999999999998E-2</v>
      </c>
      <c r="D40">
        <f t="shared" si="18"/>
        <v>13.76479966206125</v>
      </c>
      <c r="E40">
        <f t="shared" si="19"/>
        <v>0.30878706600169903</v>
      </c>
      <c r="F40">
        <v>4960568</v>
      </c>
      <c r="G40">
        <v>4.9605680000000003</v>
      </c>
      <c r="H40">
        <v>44.576995533826903</v>
      </c>
      <c r="I40">
        <v>5.5679999999999996</v>
      </c>
      <c r="J40">
        <v>0.50758467389806716</v>
      </c>
      <c r="K40">
        <v>0.40333333333333332</v>
      </c>
      <c r="L40">
        <f t="shared" si="14"/>
        <v>0.40333333333333332</v>
      </c>
      <c r="M40">
        <f t="shared" si="15"/>
        <v>3.8391955555555553E-4</v>
      </c>
      <c r="N40">
        <v>0</v>
      </c>
      <c r="O40">
        <v>636.99478328511486</v>
      </c>
      <c r="P40">
        <f t="shared" si="16"/>
        <v>44.594116087055433</v>
      </c>
      <c r="Q40">
        <f t="shared" si="20"/>
        <v>0.45748528707629094</v>
      </c>
      <c r="R40">
        <f t="shared" si="17"/>
        <v>21.625841355451175</v>
      </c>
      <c r="S40">
        <f t="shared" si="21"/>
        <v>2.0620754288394285</v>
      </c>
      <c r="T40">
        <v>0</v>
      </c>
      <c r="U40">
        <f t="shared" si="22"/>
        <v>5.5679999999999996</v>
      </c>
      <c r="V40">
        <f t="shared" si="23"/>
        <v>0.45748528707629094</v>
      </c>
      <c r="W40">
        <f t="shared" si="12"/>
        <v>30.812195871765653</v>
      </c>
      <c r="X40">
        <f t="shared" si="13"/>
        <v>6211.4249561271317</v>
      </c>
      <c r="Y40">
        <v>36</v>
      </c>
    </row>
    <row r="41" spans="1:25" x14ac:dyDescent="0.3">
      <c r="A41">
        <v>1987</v>
      </c>
      <c r="B41">
        <v>215.92009292431999</v>
      </c>
      <c r="C41">
        <f t="shared" si="11"/>
        <v>3.6999999999999998E-2</v>
      </c>
      <c r="D41">
        <f t="shared" si="18"/>
        <v>14.463060372715859</v>
      </c>
      <c r="E41">
        <f t="shared" si="19"/>
        <v>0.31220391996168351</v>
      </c>
      <c r="F41">
        <v>5052522</v>
      </c>
      <c r="G41">
        <v>5.0525219999999997</v>
      </c>
      <c r="H41">
        <v>46.325684746337899</v>
      </c>
      <c r="I41">
        <v>5.7489999999999997</v>
      </c>
      <c r="J41">
        <v>0.52309872216190612</v>
      </c>
      <c r="K41">
        <v>0.54666666666666675</v>
      </c>
      <c r="L41">
        <f t="shared" si="14"/>
        <v>0.54666666666666675</v>
      </c>
      <c r="M41">
        <f t="shared" si="15"/>
        <v>7.052728888888891E-4</v>
      </c>
      <c r="N41">
        <v>0</v>
      </c>
      <c r="O41">
        <v>633.77747551348966</v>
      </c>
      <c r="P41">
        <f t="shared" si="16"/>
        <v>46.358380054963469</v>
      </c>
      <c r="Q41">
        <f t="shared" si="20"/>
        <v>0.45438032940378165</v>
      </c>
      <c r="R41">
        <f t="shared" si="17"/>
        <v>22.111772213054682</v>
      </c>
      <c r="S41">
        <f t="shared" si="21"/>
        <v>2.096547468393045</v>
      </c>
      <c r="T41">
        <v>0</v>
      </c>
      <c r="U41">
        <f t="shared" si="22"/>
        <v>5.7489999999999997</v>
      </c>
      <c r="V41">
        <f t="shared" si="23"/>
        <v>0.45438032940378165</v>
      </c>
      <c r="W41">
        <f t="shared" si="12"/>
        <v>31.86262437362204</v>
      </c>
      <c r="X41">
        <f t="shared" si="13"/>
        <v>6306.2811747523392</v>
      </c>
      <c r="Y41">
        <v>37</v>
      </c>
    </row>
    <row r="42" spans="1:25" x14ac:dyDescent="0.3">
      <c r="A42">
        <v>1988</v>
      </c>
      <c r="B42">
        <v>222.394109858836</v>
      </c>
      <c r="C42">
        <f t="shared" si="11"/>
        <v>3.6999999999999998E-2</v>
      </c>
      <c r="D42">
        <f t="shared" si="18"/>
        <v>14.997453505212917</v>
      </c>
      <c r="E42">
        <f t="shared" si="19"/>
        <v>0.31028007380039235</v>
      </c>
      <c r="F42">
        <v>5145426</v>
      </c>
      <c r="G42">
        <v>5.1454259999999996</v>
      </c>
      <c r="H42">
        <v>48.335213156037199</v>
      </c>
      <c r="I42">
        <v>5.968</v>
      </c>
      <c r="J42">
        <v>0.53906762430095012</v>
      </c>
      <c r="K42">
        <v>0.56999999999999995</v>
      </c>
      <c r="L42">
        <f t="shared" si="14"/>
        <v>0.56999999999999995</v>
      </c>
      <c r="M42">
        <f t="shared" si="15"/>
        <v>7.6676399999999997E-4</v>
      </c>
      <c r="N42">
        <v>0</v>
      </c>
      <c r="O42">
        <v>630.57641759126511</v>
      </c>
      <c r="P42">
        <f t="shared" si="16"/>
        <v>48.372303296802265</v>
      </c>
      <c r="Q42">
        <f t="shared" si="20"/>
        <v>0.45205108108725395</v>
      </c>
      <c r="R42">
        <f t="shared" si="17"/>
        <v>22.61880982065237</v>
      </c>
      <c r="S42">
        <f t="shared" si="21"/>
        <v>2.1385874712397719</v>
      </c>
      <c r="T42">
        <v>0</v>
      </c>
      <c r="U42">
        <f t="shared" si="22"/>
        <v>5.968</v>
      </c>
      <c r="V42">
        <f t="shared" si="23"/>
        <v>0.45205108108725395</v>
      </c>
      <c r="W42">
        <f t="shared" si="12"/>
        <v>33.337759650824282</v>
      </c>
      <c r="X42">
        <f t="shared" si="13"/>
        <v>6479.1058409593852</v>
      </c>
      <c r="Y42">
        <v>38</v>
      </c>
    </row>
    <row r="43" spans="1:25" x14ac:dyDescent="0.3">
      <c r="A43">
        <v>1989</v>
      </c>
      <c r="B43">
        <v>229.16298129927199</v>
      </c>
      <c r="C43">
        <f t="shared" si="11"/>
        <v>3.6999999999999998E-2</v>
      </c>
      <c r="D43">
        <f t="shared" si="18"/>
        <v>15.376750673772079</v>
      </c>
      <c r="E43">
        <f t="shared" si="19"/>
        <v>0.30741500475726308</v>
      </c>
      <c r="F43">
        <v>5237441</v>
      </c>
      <c r="G43">
        <v>5.2374409999999996</v>
      </c>
      <c r="H43">
        <v>50.019519007908102</v>
      </c>
      <c r="I43">
        <v>6.0570000000000004</v>
      </c>
      <c r="J43">
        <v>0.55596967075587711</v>
      </c>
      <c r="K43">
        <v>0.47333333333333333</v>
      </c>
      <c r="L43">
        <f t="shared" si="14"/>
        <v>0.47333333333333333</v>
      </c>
      <c r="M43">
        <f t="shared" si="15"/>
        <v>5.2874488888888886E-4</v>
      </c>
      <c r="N43">
        <v>0</v>
      </c>
      <c r="O43">
        <v>627.39152744435182</v>
      </c>
      <c r="P43">
        <f t="shared" si="16"/>
        <v>50.04598056434093</v>
      </c>
      <c r="Q43">
        <f t="shared" si="20"/>
        <v>0.44344915914811722</v>
      </c>
      <c r="R43">
        <f t="shared" si="17"/>
        <v>23.134512417531365</v>
      </c>
      <c r="S43">
        <f t="shared" si="21"/>
        <v>2.163260658409901</v>
      </c>
      <c r="T43">
        <v>0</v>
      </c>
      <c r="U43">
        <f t="shared" si="22"/>
        <v>6.0570000000000004</v>
      </c>
      <c r="V43">
        <f t="shared" si="23"/>
        <v>0.44344915914811722</v>
      </c>
      <c r="W43">
        <f t="shared" si="12"/>
        <v>34.642768334136022</v>
      </c>
      <c r="X43">
        <f t="shared" si="13"/>
        <v>6614.4455534937815</v>
      </c>
      <c r="Y43">
        <v>39</v>
      </c>
    </row>
    <row r="44" spans="1:25" x14ac:dyDescent="0.3">
      <c r="A44">
        <v>1990</v>
      </c>
      <c r="B44">
        <v>236.06070166497099</v>
      </c>
      <c r="C44">
        <f t="shared" si="11"/>
        <v>3.6999999999999998E-2</v>
      </c>
      <c r="D44">
        <f t="shared" si="18"/>
        <v>15.564442280144931</v>
      </c>
      <c r="E44">
        <f t="shared" si="19"/>
        <v>0.30171066333508728</v>
      </c>
      <c r="F44">
        <v>5327231</v>
      </c>
      <c r="G44">
        <v>5.3272310000000003</v>
      </c>
      <c r="H44">
        <v>51.587312520203099</v>
      </c>
      <c r="I44">
        <v>6.1950000000000003</v>
      </c>
      <c r="J44">
        <v>0.57384822692895809</v>
      </c>
      <c r="K44">
        <v>0.64666666666666661</v>
      </c>
      <c r="L44">
        <f t="shared" si="14"/>
        <v>0.64666666666666661</v>
      </c>
      <c r="M44">
        <f t="shared" si="15"/>
        <v>9.868995555555554E-4</v>
      </c>
      <c r="N44">
        <v>0</v>
      </c>
      <c r="O44">
        <v>624.22272341319695</v>
      </c>
      <c r="P44">
        <f t="shared" si="16"/>
        <v>51.638274310169457</v>
      </c>
      <c r="Q44">
        <f t="shared" si="20"/>
        <v>0.43956697436594711</v>
      </c>
      <c r="R44">
        <f t="shared" si="17"/>
        <v>23.648506977880871</v>
      </c>
      <c r="S44">
        <f t="shared" si="21"/>
        <v>2.1835743947162594</v>
      </c>
      <c r="T44">
        <v>0</v>
      </c>
      <c r="U44">
        <f t="shared" si="22"/>
        <v>6.1950000000000003</v>
      </c>
      <c r="V44">
        <f t="shared" si="23"/>
        <v>0.43956697436594711</v>
      </c>
      <c r="W44">
        <f t="shared" si="12"/>
        <v>36.022870240058168</v>
      </c>
      <c r="X44">
        <f t="shared" si="13"/>
        <v>6762.025194713382</v>
      </c>
      <c r="Y44">
        <v>40</v>
      </c>
    </row>
    <row r="45" spans="1:25" x14ac:dyDescent="0.3">
      <c r="A45">
        <v>1991</v>
      </c>
      <c r="B45">
        <v>242.89089798351199</v>
      </c>
      <c r="C45">
        <f t="shared" si="11"/>
        <v>3.6999999999999998E-2</v>
      </c>
      <c r="D45">
        <f t="shared" si="18"/>
        <v>15.75225185851798</v>
      </c>
      <c r="E45">
        <f t="shared" si="19"/>
        <v>0.30242827121650823</v>
      </c>
      <c r="F45">
        <v>5414289</v>
      </c>
      <c r="G45">
        <v>5.4142890000000001</v>
      </c>
      <c r="H45">
        <v>52.085910471117799</v>
      </c>
      <c r="I45">
        <v>6.3239999999999998</v>
      </c>
      <c r="J45">
        <v>0.59187139036468117</v>
      </c>
      <c r="K45">
        <v>0.59666666666666668</v>
      </c>
      <c r="L45">
        <f t="shared" si="14"/>
        <v>0.59666666666666668</v>
      </c>
      <c r="M45">
        <f t="shared" si="15"/>
        <v>8.4018622222222221E-4</v>
      </c>
      <c r="N45">
        <v>0</v>
      </c>
      <c r="O45">
        <v>621.06992425069052</v>
      </c>
      <c r="P45">
        <f t="shared" si="16"/>
        <v>52.129709134501063</v>
      </c>
      <c r="Q45">
        <f t="shared" si="20"/>
        <v>0.44449003043956409</v>
      </c>
      <c r="R45">
        <f t="shared" si="17"/>
        <v>24.151603285060929</v>
      </c>
      <c r="S45">
        <f t="shared" si="21"/>
        <v>2.1584367927551256</v>
      </c>
      <c r="T45">
        <v>0</v>
      </c>
      <c r="U45">
        <f t="shared" si="22"/>
        <v>6.3239999999999998</v>
      </c>
      <c r="V45">
        <f t="shared" si="23"/>
        <v>0.44449003043956409</v>
      </c>
      <c r="W45">
        <f t="shared" si="12"/>
        <v>36.33365861259982</v>
      </c>
      <c r="X45">
        <f t="shared" si="13"/>
        <v>6710.6980459668521</v>
      </c>
      <c r="Y45">
        <v>41</v>
      </c>
    </row>
    <row r="46" spans="1:25" x14ac:dyDescent="0.3">
      <c r="A46">
        <v>1992</v>
      </c>
      <c r="B46">
        <v>249.65618661664001</v>
      </c>
      <c r="C46">
        <f t="shared" si="11"/>
        <v>3.6999999999999998E-2</v>
      </c>
      <c r="D46">
        <f t="shared" si="18"/>
        <v>15.798656813467687</v>
      </c>
      <c r="E46">
        <f t="shared" si="19"/>
        <v>0.29901477000717508</v>
      </c>
      <c r="F46">
        <v>5498920</v>
      </c>
      <c r="G46">
        <v>5.49892</v>
      </c>
      <c r="H46">
        <v>52.835707122723697</v>
      </c>
      <c r="I46">
        <v>6.1260000000000003</v>
      </c>
      <c r="J46">
        <v>0.60908039717277318</v>
      </c>
      <c r="K46">
        <v>0.4366666666666667</v>
      </c>
      <c r="L46">
        <f t="shared" si="14"/>
        <v>0.4366666666666667</v>
      </c>
      <c r="M46">
        <f t="shared" ref="M46:M73" si="24">$M$2*L46^2</f>
        <v>4.4999955555555563E-4</v>
      </c>
      <c r="N46">
        <v>0</v>
      </c>
      <c r="O46">
        <v>617.93304912008205</v>
      </c>
      <c r="P46">
        <f t="shared" ref="P46:P73" si="25">(H46+I46*3.664*N46^$O$1*O46/(1000*$O$1))/(1-M46)</f>
        <v>52.85949387147275</v>
      </c>
      <c r="Q46">
        <f t="shared" si="20"/>
        <v>0.42462881038127936</v>
      </c>
      <c r="R46">
        <f t="shared" ref="R46:R73" si="26">B46^$S$1*G46^(1-$S$1)</f>
        <v>24.644743875345341</v>
      </c>
      <c r="S46">
        <f t="shared" si="21"/>
        <v>2.1448587227702336</v>
      </c>
      <c r="T46">
        <v>0</v>
      </c>
      <c r="U46">
        <f t="shared" si="22"/>
        <v>6.1260000000000003</v>
      </c>
      <c r="V46">
        <f t="shared" si="23"/>
        <v>0.42462881038127936</v>
      </c>
      <c r="W46">
        <f t="shared" si="12"/>
        <v>37.03705030925601</v>
      </c>
      <c r="X46">
        <f t="shared" si="13"/>
        <v>6735.3317213663795</v>
      </c>
      <c r="Y46">
        <v>42</v>
      </c>
    </row>
    <row r="47" spans="1:25" x14ac:dyDescent="0.3">
      <c r="A47">
        <v>1993</v>
      </c>
      <c r="B47">
        <v>256.217564525292</v>
      </c>
      <c r="C47">
        <f t="shared" si="11"/>
        <v>3.6999999999999998E-2</v>
      </c>
      <c r="D47">
        <f t="shared" si="18"/>
        <v>16.37233020509882</v>
      </c>
      <c r="E47">
        <f t="shared" si="19"/>
        <v>0.30477253954354711</v>
      </c>
      <c r="F47">
        <v>5581598</v>
      </c>
      <c r="G47">
        <v>5.5815979999999996</v>
      </c>
      <c r="H47">
        <v>53.719833911609598</v>
      </c>
      <c r="I47">
        <v>6.1909999999999998</v>
      </c>
      <c r="J47">
        <v>0.6255102083789541</v>
      </c>
      <c r="K47">
        <v>0.46666666666666662</v>
      </c>
      <c r="L47">
        <f t="shared" si="14"/>
        <v>0.46666666666666662</v>
      </c>
      <c r="M47">
        <f t="shared" si="24"/>
        <v>5.1395555555555552E-4</v>
      </c>
      <c r="N47">
        <v>0</v>
      </c>
      <c r="O47">
        <v>614.81201759290832</v>
      </c>
      <c r="P47">
        <f t="shared" si="25"/>
        <v>53.747457716099774</v>
      </c>
      <c r="Q47">
        <f t="shared" si="20"/>
        <v>0.42204459455214716</v>
      </c>
      <c r="R47">
        <f t="shared" si="26"/>
        <v>25.123883203284933</v>
      </c>
      <c r="S47">
        <f t="shared" si="21"/>
        <v>2.1392973881152386</v>
      </c>
      <c r="T47">
        <v>0</v>
      </c>
      <c r="U47">
        <f t="shared" si="22"/>
        <v>6.1909999999999998</v>
      </c>
      <c r="V47">
        <f t="shared" si="23"/>
        <v>0.42204459455214716</v>
      </c>
      <c r="W47">
        <f t="shared" si="12"/>
        <v>37.347503706510778</v>
      </c>
      <c r="X47">
        <f t="shared" si="13"/>
        <v>6691.1848016483418</v>
      </c>
      <c r="Y47">
        <v>43</v>
      </c>
    </row>
    <row r="48" spans="1:25" x14ac:dyDescent="0.3">
      <c r="A48">
        <v>1994</v>
      </c>
      <c r="B48">
        <v>263.109844842955</v>
      </c>
      <c r="C48">
        <f t="shared" si="11"/>
        <v>3.6999999999999998E-2</v>
      </c>
      <c r="D48">
        <f t="shared" si="18"/>
        <v>16.954446133075351</v>
      </c>
      <c r="E48">
        <f t="shared" si="19"/>
        <v>0.30728772191209019</v>
      </c>
      <c r="F48">
        <v>5663150</v>
      </c>
      <c r="G48">
        <v>5.6631499999999999</v>
      </c>
      <c r="H48">
        <v>55.174499090223101</v>
      </c>
      <c r="I48">
        <v>6.2350000000000003</v>
      </c>
      <c r="J48">
        <v>0.64170946809248408</v>
      </c>
      <c r="K48">
        <v>0.53666666666666674</v>
      </c>
      <c r="L48">
        <f t="shared" si="14"/>
        <v>0.53666666666666674</v>
      </c>
      <c r="M48">
        <f t="shared" si="24"/>
        <v>6.7970622222222237E-4</v>
      </c>
      <c r="N48">
        <v>0</v>
      </c>
      <c r="O48">
        <v>611.70674964693069</v>
      </c>
      <c r="P48">
        <f t="shared" si="25"/>
        <v>55.212027048549501</v>
      </c>
      <c r="Q48">
        <f t="shared" si="20"/>
        <v>0.41376926769799105</v>
      </c>
      <c r="R48">
        <f t="shared" si="26"/>
        <v>25.611902899143946</v>
      </c>
      <c r="S48">
        <f t="shared" si="21"/>
        <v>2.1557174906513845</v>
      </c>
      <c r="T48">
        <v>0</v>
      </c>
      <c r="U48">
        <f t="shared" si="22"/>
        <v>6.2350000000000003</v>
      </c>
      <c r="V48">
        <f t="shared" si="23"/>
        <v>0.41376926769799105</v>
      </c>
      <c r="W48">
        <f t="shared" si="12"/>
        <v>38.22005295714775</v>
      </c>
      <c r="X48">
        <f t="shared" si="13"/>
        <v>6748.9035178562726</v>
      </c>
      <c r="Y48">
        <v>44</v>
      </c>
    </row>
    <row r="49" spans="1:25" x14ac:dyDescent="0.3">
      <c r="A49">
        <v>1995</v>
      </c>
      <c r="B49">
        <v>270.32922671684099</v>
      </c>
      <c r="C49">
        <f t="shared" si="11"/>
        <v>3.6999999999999998E-2</v>
      </c>
      <c r="D49">
        <f t="shared" si="18"/>
        <v>17.862650400394159</v>
      </c>
      <c r="E49">
        <f t="shared" si="19"/>
        <v>0.31372210039241516</v>
      </c>
      <c r="F49">
        <v>5744213</v>
      </c>
      <c r="G49">
        <v>5.7442130000000002</v>
      </c>
      <c r="H49">
        <v>56.937813364282903</v>
      </c>
      <c r="I49">
        <v>6.3680000000000003</v>
      </c>
      <c r="J49">
        <v>0.65819590549591711</v>
      </c>
      <c r="K49">
        <v>0.66333333333333344</v>
      </c>
      <c r="L49">
        <f t="shared" si="14"/>
        <v>0.66333333333333344</v>
      </c>
      <c r="M49">
        <f t="shared" si="24"/>
        <v>1.0384262222222227E-3</v>
      </c>
      <c r="N49">
        <v>0</v>
      </c>
      <c r="O49">
        <v>608.61716566408393</v>
      </c>
      <c r="P49">
        <f t="shared" si="25"/>
        <v>56.997000544236052</v>
      </c>
      <c r="Q49">
        <f t="shared" si="20"/>
        <v>0.40936105018178082</v>
      </c>
      <c r="R49">
        <f t="shared" si="26"/>
        <v>26.110148929164602</v>
      </c>
      <c r="S49">
        <f t="shared" si="21"/>
        <v>2.1829442910825896</v>
      </c>
      <c r="T49">
        <v>0</v>
      </c>
      <c r="U49">
        <f t="shared" si="22"/>
        <v>6.3680000000000003</v>
      </c>
      <c r="V49">
        <f t="shared" si="23"/>
        <v>0.40936105018178082</v>
      </c>
      <c r="W49">
        <f t="shared" si="12"/>
        <v>39.075162963888744</v>
      </c>
      <c r="X49">
        <f t="shared" si="13"/>
        <v>6802.526815055211</v>
      </c>
      <c r="Y49">
        <v>45</v>
      </c>
    </row>
    <row r="50" spans="1:25" x14ac:dyDescent="0.3">
      <c r="A50">
        <v>1996</v>
      </c>
      <c r="B50">
        <v>278.18969572871202</v>
      </c>
      <c r="C50">
        <f t="shared" si="11"/>
        <v>3.6999999999999998E-2</v>
      </c>
      <c r="D50">
        <f t="shared" si="18"/>
        <v>18.398970777422278</v>
      </c>
      <c r="E50">
        <f t="shared" si="19"/>
        <v>0.31133816671248887</v>
      </c>
      <c r="F50">
        <v>5824892</v>
      </c>
      <c r="G50">
        <v>5.8248920000000002</v>
      </c>
      <c r="H50">
        <v>59.096419085724101</v>
      </c>
      <c r="I50">
        <v>6.5640000000000001</v>
      </c>
      <c r="J50">
        <v>0.67537599224360612</v>
      </c>
      <c r="K50">
        <v>0.52666666666666673</v>
      </c>
      <c r="L50">
        <f t="shared" si="14"/>
        <v>0.52666666666666673</v>
      </c>
      <c r="M50">
        <f t="shared" si="24"/>
        <v>6.546115555555557E-4</v>
      </c>
      <c r="N50">
        <v>0</v>
      </c>
      <c r="O50">
        <v>605.54318642843441</v>
      </c>
      <c r="P50">
        <f t="shared" si="25"/>
        <v>59.135129624915848</v>
      </c>
      <c r="Q50">
        <f t="shared" si="20"/>
        <v>0.40670403789673315</v>
      </c>
      <c r="R50">
        <f t="shared" si="26"/>
        <v>26.630485505286732</v>
      </c>
      <c r="S50">
        <f t="shared" si="21"/>
        <v>2.2205802298713717</v>
      </c>
      <c r="T50">
        <v>0</v>
      </c>
      <c r="U50">
        <f t="shared" si="22"/>
        <v>6.5640000000000001</v>
      </c>
      <c r="V50">
        <f t="shared" si="23"/>
        <v>0.40670403789673315</v>
      </c>
      <c r="W50">
        <f t="shared" si="12"/>
        <v>40.697448308301823</v>
      </c>
      <c r="X50">
        <f t="shared" si="13"/>
        <v>6986.8159458238588</v>
      </c>
      <c r="Y50">
        <v>46</v>
      </c>
    </row>
    <row r="51" spans="1:25" x14ac:dyDescent="0.3">
      <c r="A51">
        <v>1997</v>
      </c>
      <c r="B51">
        <v>286.29564776417197</v>
      </c>
      <c r="C51">
        <f t="shared" si="11"/>
        <v>3.6999999999999998E-2</v>
      </c>
      <c r="D51">
        <f t="shared" si="18"/>
        <v>18.425357765100443</v>
      </c>
      <c r="E51">
        <f t="shared" si="19"/>
        <v>0.30036544904617024</v>
      </c>
      <c r="F51">
        <v>5905046</v>
      </c>
      <c r="G51">
        <v>5.9050459999999996</v>
      </c>
      <c r="H51">
        <v>61.343133251881497</v>
      </c>
      <c r="I51">
        <v>6.6020000000000003</v>
      </c>
      <c r="J51">
        <v>0.6925385239899281</v>
      </c>
      <c r="K51">
        <v>0.70666666666666667</v>
      </c>
      <c r="L51">
        <f t="shared" si="14"/>
        <v>0.70666666666666667</v>
      </c>
      <c r="M51">
        <f t="shared" si="24"/>
        <v>1.1785315555555556E-3</v>
      </c>
      <c r="N51">
        <v>0</v>
      </c>
      <c r="O51">
        <v>602.4847331241491</v>
      </c>
      <c r="P51">
        <f t="shared" si="25"/>
        <v>61.415513372391509</v>
      </c>
      <c r="Q51">
        <f t="shared" si="20"/>
        <v>0.39386999589706528</v>
      </c>
      <c r="R51">
        <f t="shared" si="26"/>
        <v>27.157195135687743</v>
      </c>
      <c r="S51">
        <f t="shared" si="21"/>
        <v>2.2614821989360863</v>
      </c>
      <c r="T51">
        <v>0</v>
      </c>
      <c r="U51">
        <f t="shared" si="22"/>
        <v>6.6020000000000003</v>
      </c>
      <c r="V51">
        <f t="shared" si="23"/>
        <v>0.39386999589706528</v>
      </c>
      <c r="W51">
        <f t="shared" si="12"/>
        <v>42.917775486781053</v>
      </c>
      <c r="X51">
        <f t="shared" si="13"/>
        <v>7267.9832615666419</v>
      </c>
      <c r="Y51">
        <v>47</v>
      </c>
    </row>
    <row r="52" spans="1:25" x14ac:dyDescent="0.3">
      <c r="A52">
        <v>1998</v>
      </c>
      <c r="B52">
        <v>294.12806656199803</v>
      </c>
      <c r="C52">
        <f t="shared" si="11"/>
        <v>3.6999999999999998E-2</v>
      </c>
      <c r="D52">
        <f t="shared" si="18"/>
        <v>18.668857958961951</v>
      </c>
      <c r="E52">
        <f t="shared" si="19"/>
        <v>0.29808639817120436</v>
      </c>
      <c r="F52">
        <v>5984794</v>
      </c>
      <c r="G52">
        <v>5.9847939999999999</v>
      </c>
      <c r="H52">
        <v>62.629016531776102</v>
      </c>
      <c r="I52">
        <v>6.5810000000000004</v>
      </c>
      <c r="J52">
        <v>0.70858689694974408</v>
      </c>
      <c r="K52">
        <v>0.84666666666666668</v>
      </c>
      <c r="L52">
        <f t="shared" si="14"/>
        <v>0.84666666666666668</v>
      </c>
      <c r="M52">
        <f t="shared" si="24"/>
        <v>1.6917528888888891E-3</v>
      </c>
      <c r="N52">
        <v>0</v>
      </c>
      <c r="O52">
        <v>599.441727333475</v>
      </c>
      <c r="P52">
        <f t="shared" si="25"/>
        <v>62.735148901164521</v>
      </c>
      <c r="Q52">
        <f t="shared" si="20"/>
        <v>0.38435844056078117</v>
      </c>
      <c r="R52">
        <f t="shared" si="26"/>
        <v>27.671242988612001</v>
      </c>
      <c r="S52">
        <f t="shared" si="21"/>
        <v>2.2671604931872031</v>
      </c>
      <c r="T52">
        <v>0</v>
      </c>
      <c r="U52">
        <f t="shared" si="22"/>
        <v>6.5810000000000004</v>
      </c>
      <c r="V52">
        <f t="shared" si="23"/>
        <v>0.38435844056078117</v>
      </c>
      <c r="W52">
        <f t="shared" si="12"/>
        <v>43.960158572814152</v>
      </c>
      <c r="X52">
        <f t="shared" si="13"/>
        <v>7345.3085557855702</v>
      </c>
      <c r="Y52">
        <v>48</v>
      </c>
    </row>
    <row r="53" spans="1:25" x14ac:dyDescent="0.3">
      <c r="A53">
        <v>1999</v>
      </c>
      <c r="B53">
        <v>301.91418605816602</v>
      </c>
      <c r="C53">
        <f t="shared" si="11"/>
        <v>3.6999999999999998E-2</v>
      </c>
      <c r="D53">
        <f t="shared" si="18"/>
        <v>19.351972983938083</v>
      </c>
      <c r="E53">
        <f t="shared" si="19"/>
        <v>0.29877551190163221</v>
      </c>
      <c r="F53">
        <v>6064239</v>
      </c>
      <c r="G53">
        <v>6.0642389999999997</v>
      </c>
      <c r="H53">
        <v>64.770947460745901</v>
      </c>
      <c r="I53">
        <v>6.6680000000000001</v>
      </c>
      <c r="J53">
        <v>0.72357151979652312</v>
      </c>
      <c r="K53">
        <v>0.62666666666666659</v>
      </c>
      <c r="L53">
        <f t="shared" si="14"/>
        <v>0.62666666666666659</v>
      </c>
      <c r="M53">
        <f t="shared" si="24"/>
        <v>9.2679822222222201E-4</v>
      </c>
      <c r="N53">
        <v>0</v>
      </c>
      <c r="O53">
        <v>596.41409103472813</v>
      </c>
      <c r="P53">
        <f t="shared" si="25"/>
        <v>64.831032746640318</v>
      </c>
      <c r="Q53">
        <f t="shared" si="20"/>
        <v>0.37684965000447407</v>
      </c>
      <c r="R53">
        <f t="shared" si="26"/>
        <v>28.181568317367795</v>
      </c>
      <c r="S53">
        <f t="shared" si="21"/>
        <v>2.3004763970742577</v>
      </c>
      <c r="T53">
        <v>0</v>
      </c>
      <c r="U53">
        <f t="shared" si="22"/>
        <v>6.6680000000000001</v>
      </c>
      <c r="V53">
        <f t="shared" si="23"/>
        <v>0.37684965000447407</v>
      </c>
      <c r="W53">
        <f t="shared" si="12"/>
        <v>45.418974476807819</v>
      </c>
      <c r="X53">
        <f t="shared" si="13"/>
        <v>7489.6412355792399</v>
      </c>
      <c r="Y53">
        <v>49</v>
      </c>
    </row>
    <row r="54" spans="1:25" x14ac:dyDescent="0.3">
      <c r="A54">
        <v>2000</v>
      </c>
      <c r="B54">
        <v>310.09533415795198</v>
      </c>
      <c r="C54">
        <f t="shared" si="11"/>
        <v>3.6999999999999998E-2</v>
      </c>
      <c r="D54">
        <f t="shared" si="18"/>
        <v>19.169857720889297</v>
      </c>
      <c r="E54">
        <f t="shared" si="19"/>
        <v>0.28290541275291675</v>
      </c>
      <c r="F54">
        <v>6143494</v>
      </c>
      <c r="G54">
        <v>6.1434939999999996</v>
      </c>
      <c r="H54">
        <v>67.760660831299901</v>
      </c>
      <c r="I54">
        <v>6.8559999999999999</v>
      </c>
      <c r="J54">
        <v>0.73774051090399018</v>
      </c>
      <c r="K54">
        <v>0.62333333333333341</v>
      </c>
      <c r="L54">
        <f t="shared" si="14"/>
        <v>0.62333333333333341</v>
      </c>
      <c r="M54">
        <f t="shared" si="24"/>
        <v>9.1696488888888907E-4</v>
      </c>
      <c r="N54">
        <v>0</v>
      </c>
      <c r="O54">
        <v>593.40174660029356</v>
      </c>
      <c r="P54">
        <f t="shared" si="25"/>
        <v>67.822852005253026</v>
      </c>
      <c r="Q54">
        <f t="shared" si="20"/>
        <v>0.37038230120512144</v>
      </c>
      <c r="R54">
        <f t="shared" si="26"/>
        <v>28.70465337016751</v>
      </c>
      <c r="S54">
        <f t="shared" si="21"/>
        <v>2.3627824774829267</v>
      </c>
      <c r="T54">
        <v>0</v>
      </c>
      <c r="U54">
        <f t="shared" si="22"/>
        <v>6.8559999999999999</v>
      </c>
      <c r="V54">
        <f t="shared" si="23"/>
        <v>0.37038230120512144</v>
      </c>
      <c r="W54">
        <f t="shared" si="12"/>
        <v>48.590803110410604</v>
      </c>
      <c r="X54">
        <f t="shared" si="13"/>
        <v>7909.3107457109272</v>
      </c>
      <c r="Y54">
        <v>50</v>
      </c>
    </row>
    <row r="55" spans="1:25" x14ac:dyDescent="0.3">
      <c r="A55">
        <v>2001</v>
      </c>
      <c r="B55">
        <v>317.79166451499702</v>
      </c>
      <c r="C55">
        <f t="shared" si="11"/>
        <v>3.6999999999999998E-2</v>
      </c>
      <c r="D55">
        <f t="shared" si="18"/>
        <v>19.238521729309866</v>
      </c>
      <c r="E55">
        <f t="shared" si="19"/>
        <v>0.27726539912433495</v>
      </c>
      <c r="F55">
        <v>6222627</v>
      </c>
      <c r="G55">
        <v>6.2226270000000001</v>
      </c>
      <c r="H55">
        <v>69.386666313464801</v>
      </c>
      <c r="I55">
        <v>6.9139999999999997</v>
      </c>
      <c r="J55">
        <v>0.75125964161986514</v>
      </c>
      <c r="K55">
        <v>0.76666666666666661</v>
      </c>
      <c r="L55">
        <f t="shared" si="14"/>
        <v>0.76666666666666661</v>
      </c>
      <c r="M55">
        <f t="shared" si="24"/>
        <v>1.3871555555555555E-3</v>
      </c>
      <c r="N55">
        <v>0</v>
      </c>
      <c r="O55">
        <v>590.40461679463465</v>
      </c>
      <c r="P55">
        <f t="shared" si="25"/>
        <v>69.483050112445227</v>
      </c>
      <c r="Q55">
        <f t="shared" si="20"/>
        <v>0.3645910183707175</v>
      </c>
      <c r="R55">
        <f t="shared" si="26"/>
        <v>29.208635388094176</v>
      </c>
      <c r="S55">
        <f t="shared" si="21"/>
        <v>2.378853006627192</v>
      </c>
      <c r="T55">
        <v>0</v>
      </c>
      <c r="U55">
        <f t="shared" si="22"/>
        <v>6.9139999999999997</v>
      </c>
      <c r="V55">
        <f t="shared" si="23"/>
        <v>0.3645910183707175</v>
      </c>
      <c r="W55">
        <f t="shared" si="12"/>
        <v>50.148144584154934</v>
      </c>
      <c r="X55">
        <f t="shared" si="13"/>
        <v>8058.9989700740443</v>
      </c>
      <c r="Y55">
        <v>51</v>
      </c>
    </row>
    <row r="56" spans="1:25" x14ac:dyDescent="0.3">
      <c r="A56">
        <v>2002</v>
      </c>
      <c r="B56">
        <v>325.27189465725201</v>
      </c>
      <c r="C56">
        <f t="shared" si="11"/>
        <v>3.6999999999999998E-2</v>
      </c>
      <c r="D56">
        <f t="shared" si="18"/>
        <v>20.262921682344313</v>
      </c>
      <c r="E56">
        <f t="shared" si="19"/>
        <v>0.28371691829905521</v>
      </c>
      <c r="F56">
        <v>6301773</v>
      </c>
      <c r="G56">
        <v>6.3017729999999998</v>
      </c>
      <c r="H56">
        <v>71.419504356049501</v>
      </c>
      <c r="I56">
        <v>7.0720000000000001</v>
      </c>
      <c r="J56">
        <v>0.76489654344172309</v>
      </c>
      <c r="K56">
        <v>0.83</v>
      </c>
      <c r="L56">
        <f t="shared" si="14"/>
        <v>0.83</v>
      </c>
      <c r="M56">
        <f t="shared" si="24"/>
        <v>1.625804E-3</v>
      </c>
      <c r="N56">
        <v>0</v>
      </c>
      <c r="O56">
        <v>587.42262477231293</v>
      </c>
      <c r="P56">
        <f t="shared" si="25"/>
        <v>71.535807558120723</v>
      </c>
      <c r="Q56">
        <f t="shared" si="20"/>
        <v>0.3622215067460785</v>
      </c>
      <c r="R56">
        <f t="shared" si="26"/>
        <v>29.703975813210739</v>
      </c>
      <c r="S56">
        <f t="shared" si="21"/>
        <v>2.4082906614240316</v>
      </c>
      <c r="T56">
        <v>0</v>
      </c>
      <c r="U56">
        <f t="shared" si="22"/>
        <v>7.0720000000000001</v>
      </c>
      <c r="V56">
        <f t="shared" si="23"/>
        <v>0.3622215067460785</v>
      </c>
      <c r="W56">
        <f t="shared" si="12"/>
        <v>51.156582673705188</v>
      </c>
      <c r="X56">
        <f t="shared" si="13"/>
        <v>8117.8079048079298</v>
      </c>
      <c r="Y56">
        <v>52</v>
      </c>
    </row>
    <row r="57" spans="1:25" x14ac:dyDescent="0.3">
      <c r="A57">
        <v>2003</v>
      </c>
      <c r="B57">
        <v>333.49975623727801</v>
      </c>
      <c r="C57">
        <f t="shared" si="11"/>
        <v>3.6999999999999998E-2</v>
      </c>
      <c r="D57">
        <f t="shared" si="18"/>
        <v>21.684493012693338</v>
      </c>
      <c r="E57">
        <f t="shared" si="19"/>
        <v>0.29289718404044129</v>
      </c>
      <c r="F57">
        <v>6381185</v>
      </c>
      <c r="G57">
        <v>6.3811850000000003</v>
      </c>
      <c r="H57">
        <v>74.034487848470704</v>
      </c>
      <c r="I57">
        <v>7.4169999999999998</v>
      </c>
      <c r="J57">
        <v>0.77916857850257315</v>
      </c>
      <c r="K57">
        <v>0.83666666666666656</v>
      </c>
      <c r="L57">
        <f t="shared" si="14"/>
        <v>0.83666666666666656</v>
      </c>
      <c r="M57">
        <f t="shared" si="24"/>
        <v>1.6520262222222218E-3</v>
      </c>
      <c r="N57">
        <v>0</v>
      </c>
      <c r="O57">
        <v>584.45569407601795</v>
      </c>
      <c r="P57">
        <f t="shared" si="25"/>
        <v>74.156997152327605</v>
      </c>
      <c r="Q57">
        <f t="shared" si="20"/>
        <v>0.36646424536550987</v>
      </c>
      <c r="R57">
        <f t="shared" si="26"/>
        <v>30.225964660386481</v>
      </c>
      <c r="S57">
        <f t="shared" si="21"/>
        <v>2.4534203617830674</v>
      </c>
      <c r="T57">
        <v>0</v>
      </c>
      <c r="U57">
        <f t="shared" si="22"/>
        <v>7.4169999999999998</v>
      </c>
      <c r="V57">
        <f t="shared" si="23"/>
        <v>0.36646424536550987</v>
      </c>
      <c r="W57">
        <f t="shared" si="12"/>
        <v>52.349994835777366</v>
      </c>
      <c r="X57">
        <f t="shared" si="13"/>
        <v>8203.8045967602211</v>
      </c>
      <c r="Y57">
        <v>53</v>
      </c>
    </row>
    <row r="58" spans="1:25" x14ac:dyDescent="0.3">
      <c r="A58">
        <v>2004</v>
      </c>
      <c r="B58">
        <v>342.84475826919203</v>
      </c>
      <c r="C58">
        <f t="shared" si="11"/>
        <v>3.6999999999999998E-2</v>
      </c>
      <c r="D58">
        <f t="shared" si="18"/>
        <v>23.210079209573109</v>
      </c>
      <c r="E58">
        <f t="shared" si="19"/>
        <v>0.29812356148006797</v>
      </c>
      <c r="F58">
        <v>6461159</v>
      </c>
      <c r="G58">
        <v>6.4611590000000003</v>
      </c>
      <c r="H58">
        <v>77.853890830848997</v>
      </c>
      <c r="I58">
        <v>7.77</v>
      </c>
      <c r="J58">
        <v>0.79402670045222512</v>
      </c>
      <c r="K58">
        <v>0.77</v>
      </c>
      <c r="L58">
        <f t="shared" si="14"/>
        <v>0.77</v>
      </c>
      <c r="M58">
        <f t="shared" si="24"/>
        <v>1.399244E-3</v>
      </c>
      <c r="N58">
        <v>0</v>
      </c>
      <c r="O58">
        <v>581.5037486346065</v>
      </c>
      <c r="P58">
        <f t="shared" si="25"/>
        <v>77.96298006292416</v>
      </c>
      <c r="Q58">
        <f t="shared" si="20"/>
        <v>0.36516408142713835</v>
      </c>
      <c r="R58">
        <f t="shared" si="26"/>
        <v>30.787976740736365</v>
      </c>
      <c r="S58">
        <f t="shared" si="21"/>
        <v>2.5322540912462537</v>
      </c>
      <c r="T58">
        <v>0</v>
      </c>
      <c r="U58">
        <f t="shared" si="22"/>
        <v>7.77</v>
      </c>
      <c r="V58">
        <f t="shared" si="23"/>
        <v>0.36516408142713835</v>
      </c>
      <c r="W58">
        <f t="shared" si="12"/>
        <v>54.643811621275887</v>
      </c>
      <c r="X58">
        <f t="shared" si="13"/>
        <v>8457.2770336213489</v>
      </c>
      <c r="Y58">
        <v>54</v>
      </c>
    </row>
    <row r="59" spans="1:25" x14ac:dyDescent="0.3">
      <c r="A59">
        <v>2005</v>
      </c>
      <c r="B59">
        <v>353.36958142280503</v>
      </c>
      <c r="C59">
        <f t="shared" si="11"/>
        <v>3.6999999999999998E-2</v>
      </c>
      <c r="D59">
        <f t="shared" si="18"/>
        <v>24.769303333134758</v>
      </c>
      <c r="E59">
        <f t="shared" si="19"/>
        <v>0.30428121293777044</v>
      </c>
      <c r="F59">
        <v>6541907</v>
      </c>
      <c r="G59">
        <v>6.5419070000000001</v>
      </c>
      <c r="H59">
        <v>81.402670555938698</v>
      </c>
      <c r="I59">
        <v>8.0269999999999992</v>
      </c>
      <c r="J59">
        <v>0.80960739816150717</v>
      </c>
      <c r="K59">
        <v>0.88</v>
      </c>
      <c r="L59">
        <f t="shared" si="14"/>
        <v>0.88</v>
      </c>
      <c r="M59">
        <f t="shared" si="24"/>
        <v>1.8275839999999999E-3</v>
      </c>
      <c r="N59">
        <v>2.5910140786119768E-2</v>
      </c>
      <c r="O59">
        <v>578.56671276115276</v>
      </c>
      <c r="P59">
        <f t="shared" si="25"/>
        <v>81.552204867136012</v>
      </c>
      <c r="Q59">
        <f t="shared" si="20"/>
        <v>0.36063927453483285</v>
      </c>
      <c r="R59">
        <f t="shared" si="26"/>
        <v>31.391859112789387</v>
      </c>
      <c r="S59">
        <f t="shared" si="21"/>
        <v>2.5978775125781177</v>
      </c>
      <c r="T59">
        <v>2.5910140786119768E-2</v>
      </c>
      <c r="U59">
        <f t="shared" si="22"/>
        <v>8.2405128480426111</v>
      </c>
      <c r="V59">
        <f t="shared" si="23"/>
        <v>0.37023203878323868</v>
      </c>
      <c r="W59">
        <f t="shared" si="12"/>
        <v>56.63336722280394</v>
      </c>
      <c r="X59">
        <f t="shared" si="13"/>
        <v>8657.0119726257108</v>
      </c>
      <c r="Y59">
        <v>55</v>
      </c>
    </row>
    <row r="60" spans="1:25" x14ac:dyDescent="0.3">
      <c r="A60">
        <v>2006</v>
      </c>
      <c r="B60">
        <v>365.06421024329597</v>
      </c>
      <c r="C60">
        <f t="shared" si="11"/>
        <v>3.6999999999999998E-2</v>
      </c>
      <c r="D60">
        <f t="shared" si="18"/>
        <v>26.408602503462987</v>
      </c>
      <c r="E60">
        <f t="shared" si="19"/>
        <v>0.30863461072031956</v>
      </c>
      <c r="F60">
        <v>6623518</v>
      </c>
      <c r="G60">
        <v>6.6235179999999998</v>
      </c>
      <c r="H60">
        <v>85.565913822264406</v>
      </c>
      <c r="I60">
        <v>8.2899999999999991</v>
      </c>
      <c r="J60">
        <v>0.82645699661526417</v>
      </c>
      <c r="K60">
        <v>0.84333333333333327</v>
      </c>
      <c r="L60">
        <f t="shared" si="14"/>
        <v>0.84333333333333327</v>
      </c>
      <c r="M60">
        <f t="shared" si="24"/>
        <v>1.678458222222222E-3</v>
      </c>
      <c r="N60">
        <v>1.8196959822586366E-2</v>
      </c>
      <c r="O60">
        <v>575.64451115100724</v>
      </c>
      <c r="P60">
        <f t="shared" si="25"/>
        <v>85.709975663448049</v>
      </c>
      <c r="Q60">
        <f t="shared" si="20"/>
        <v>0.35438768667103426</v>
      </c>
      <c r="R60">
        <f t="shared" si="26"/>
        <v>32.036389289663958</v>
      </c>
      <c r="S60">
        <f t="shared" si="21"/>
        <v>2.6753943738316677</v>
      </c>
      <c r="T60">
        <v>1.8196959822586366E-2</v>
      </c>
      <c r="U60">
        <f t="shared" si="22"/>
        <v>8.4436487368199433</v>
      </c>
      <c r="V60">
        <f t="shared" si="23"/>
        <v>0.36095598828762615</v>
      </c>
      <c r="W60">
        <f t="shared" si="12"/>
        <v>59.157311318801419</v>
      </c>
      <c r="X60">
        <f t="shared" si="13"/>
        <v>8931.4034201766226</v>
      </c>
      <c r="Y60">
        <v>56</v>
      </c>
    </row>
    <row r="61" spans="1:25" x14ac:dyDescent="0.3">
      <c r="A61">
        <v>2007</v>
      </c>
      <c r="B61">
        <v>377.965436967757</v>
      </c>
      <c r="C61">
        <f t="shared" si="11"/>
        <v>3.6999999999999998E-2</v>
      </c>
      <c r="D61">
        <f t="shared" si="18"/>
        <v>27.018696908041022</v>
      </c>
      <c r="E61">
        <f t="shared" si="19"/>
        <v>0.30113511290348105</v>
      </c>
      <c r="F61">
        <v>6705947</v>
      </c>
      <c r="G61">
        <v>6.7059470000000001</v>
      </c>
      <c r="H61">
        <v>89.722837856842602</v>
      </c>
      <c r="I61">
        <v>8.5410000000000004</v>
      </c>
      <c r="J61">
        <v>0.84501050508905018</v>
      </c>
      <c r="K61">
        <v>0.84</v>
      </c>
      <c r="L61">
        <f t="shared" si="14"/>
        <v>0.84</v>
      </c>
      <c r="M61">
        <f t="shared" si="24"/>
        <v>1.6652159999999997E-3</v>
      </c>
      <c r="N61">
        <v>1.2512510454485266E-2</v>
      </c>
      <c r="O61">
        <v>572.73706887986611</v>
      </c>
      <c r="P61">
        <f t="shared" si="25"/>
        <v>89.872573004133031</v>
      </c>
      <c r="Q61">
        <f t="shared" si="20"/>
        <v>0.34820661024760974</v>
      </c>
      <c r="R61">
        <f t="shared" si="26"/>
        <v>32.721472805608208</v>
      </c>
      <c r="S61">
        <f t="shared" si="21"/>
        <v>2.746593148115557</v>
      </c>
      <c r="T61">
        <v>1.2512510454485266E-2</v>
      </c>
      <c r="U61">
        <f t="shared" si="22"/>
        <v>8.6492234994601755</v>
      </c>
      <c r="V61">
        <f t="shared" si="23"/>
        <v>0.35261875612000898</v>
      </c>
      <c r="W61">
        <f t="shared" si="12"/>
        <v>62.70414094880158</v>
      </c>
      <c r="X61">
        <f t="shared" si="13"/>
        <v>9350.5273675442986</v>
      </c>
      <c r="Y61">
        <v>57</v>
      </c>
    </row>
    <row r="62" spans="1:25" x14ac:dyDescent="0.3">
      <c r="A62">
        <v>2008</v>
      </c>
      <c r="B62">
        <v>390.99941270799098</v>
      </c>
      <c r="C62">
        <f t="shared" si="11"/>
        <v>3.6999999999999998E-2</v>
      </c>
      <c r="D62">
        <f t="shared" si="18"/>
        <v>26.139481719581681</v>
      </c>
      <c r="E62">
        <f t="shared" si="19"/>
        <v>0.28452329381895097</v>
      </c>
      <c r="F62">
        <v>6789089</v>
      </c>
      <c r="G62">
        <v>6.7890889999999997</v>
      </c>
      <c r="H62">
        <v>91.871148294152903</v>
      </c>
      <c r="I62">
        <v>8.7189999999999994</v>
      </c>
      <c r="J62">
        <v>0.86526963795552114</v>
      </c>
      <c r="K62">
        <v>0.73999999999999988</v>
      </c>
      <c r="L62">
        <f t="shared" si="14"/>
        <v>0.73999999999999988</v>
      </c>
      <c r="M62">
        <f t="shared" si="24"/>
        <v>1.2923359999999998E-3</v>
      </c>
      <c r="N62">
        <v>1.4253918804628255E-2</v>
      </c>
      <c r="O62">
        <v>569.8443114018504</v>
      </c>
      <c r="P62">
        <f t="shared" si="25"/>
        <v>91.990141494066123</v>
      </c>
      <c r="Q62">
        <f t="shared" si="20"/>
        <v>0.34728086598345675</v>
      </c>
      <c r="R62">
        <f t="shared" si="26"/>
        <v>33.409418715926755</v>
      </c>
      <c r="S62">
        <f t="shared" si="21"/>
        <v>2.7534193957769486</v>
      </c>
      <c r="T62">
        <v>1.4253918804628255E-2</v>
      </c>
      <c r="U62">
        <f t="shared" si="22"/>
        <v>8.8450770095143003</v>
      </c>
      <c r="V62">
        <f t="shared" si="23"/>
        <v>0.35230255804042782</v>
      </c>
      <c r="W62">
        <f t="shared" si="12"/>
        <v>65.731666574571221</v>
      </c>
      <c r="X62">
        <f t="shared" si="13"/>
        <v>9681.9568243355207</v>
      </c>
      <c r="Y62">
        <v>58</v>
      </c>
    </row>
    <row r="63" spans="1:25" x14ac:dyDescent="0.3">
      <c r="A63">
        <v>2009</v>
      </c>
      <c r="B63">
        <v>402.67191615737698</v>
      </c>
      <c r="C63">
        <f t="shared" si="11"/>
        <v>3.6999999999999998E-2</v>
      </c>
      <c r="D63">
        <f t="shared" si="18"/>
        <v>27.808253384118984</v>
      </c>
      <c r="E63">
        <f t="shared" si="19"/>
        <v>0.30439460498624588</v>
      </c>
      <c r="F63">
        <v>6872767</v>
      </c>
      <c r="G63">
        <v>6.8727669999999996</v>
      </c>
      <c r="H63">
        <v>91.355933806302204</v>
      </c>
      <c r="I63">
        <v>8.5869999999999997</v>
      </c>
      <c r="J63">
        <v>0.88705142008315008</v>
      </c>
      <c r="K63">
        <v>0.85333333333333339</v>
      </c>
      <c r="L63">
        <f t="shared" si="14"/>
        <v>0.85333333333333339</v>
      </c>
      <c r="M63">
        <f t="shared" si="24"/>
        <v>1.7184995555555561E-3</v>
      </c>
      <c r="N63">
        <v>4.9450172195639797E-2</v>
      </c>
      <c r="O63">
        <v>566.96616454759442</v>
      </c>
      <c r="P63">
        <f t="shared" si="25"/>
        <v>91.515965910747155</v>
      </c>
      <c r="Q63">
        <f t="shared" si="20"/>
        <v>0.34379539883439264</v>
      </c>
      <c r="R63">
        <f t="shared" si="26"/>
        <v>34.05021754657232</v>
      </c>
      <c r="S63">
        <f t="shared" si="21"/>
        <v>2.6876763940076396</v>
      </c>
      <c r="T63">
        <v>4.9450172195639797E-2</v>
      </c>
      <c r="U63">
        <f t="shared" si="22"/>
        <v>9.0337189580422024</v>
      </c>
      <c r="V63">
        <f t="shared" si="23"/>
        <v>0.36168056505623997</v>
      </c>
      <c r="W63">
        <f t="shared" si="12"/>
        <v>63.54768042218322</v>
      </c>
      <c r="X63">
        <f t="shared" si="13"/>
        <v>9246.3021694440122</v>
      </c>
      <c r="Y63">
        <v>59</v>
      </c>
    </row>
    <row r="64" spans="1:25" x14ac:dyDescent="0.3">
      <c r="A64">
        <v>2010</v>
      </c>
      <c r="B64">
        <v>415.58130864367303</v>
      </c>
      <c r="C64">
        <f t="shared" si="11"/>
        <v>3.6999999999999998E-2</v>
      </c>
      <c r="D64">
        <f t="shared" si="18"/>
        <v>29.423284532576929</v>
      </c>
      <c r="E64">
        <f t="shared" si="19"/>
        <v>0.30623364395676478</v>
      </c>
      <c r="F64">
        <v>6956824</v>
      </c>
      <c r="G64">
        <v>6.9568240000000001</v>
      </c>
      <c r="H64">
        <v>96.0811625803304</v>
      </c>
      <c r="I64">
        <v>9.0429999999999993</v>
      </c>
      <c r="J64">
        <v>0.90988016463802623</v>
      </c>
      <c r="K64">
        <v>0.92333333333333334</v>
      </c>
      <c r="L64">
        <f t="shared" si="14"/>
        <v>0.92333333333333334</v>
      </c>
      <c r="M64">
        <f t="shared" si="24"/>
        <v>2.0120048888888891E-3</v>
      </c>
      <c r="N64">
        <v>2.0756778900467766E-2</v>
      </c>
      <c r="O64">
        <v>564.10255452234401</v>
      </c>
      <c r="P64">
        <f t="shared" si="25"/>
        <v>96.275171574830978</v>
      </c>
      <c r="Q64">
        <f t="shared" si="20"/>
        <v>0.34415469178620545</v>
      </c>
      <c r="R64">
        <f t="shared" si="26"/>
        <v>34.730540166425854</v>
      </c>
      <c r="S64">
        <f t="shared" si="21"/>
        <v>2.7720608753416554</v>
      </c>
      <c r="T64">
        <v>2.0756778900467766E-2</v>
      </c>
      <c r="U64">
        <f t="shared" si="22"/>
        <v>9.2346822578421008</v>
      </c>
      <c r="V64">
        <f t="shared" si="23"/>
        <v>0.35144965456056487</v>
      </c>
      <c r="W64">
        <f t="shared" si="12"/>
        <v>66.657878047753471</v>
      </c>
      <c r="X64">
        <f t="shared" si="13"/>
        <v>9581.6536465136196</v>
      </c>
      <c r="Y64">
        <v>60</v>
      </c>
    </row>
    <row r="65" spans="1:25" x14ac:dyDescent="0.3">
      <c r="A65">
        <v>2011</v>
      </c>
      <c r="B65">
        <v>429.62808475643402</v>
      </c>
      <c r="C65">
        <f t="shared" si="11"/>
        <v>3.6999999999999998E-2</v>
      </c>
      <c r="D65">
        <f t="shared" si="18"/>
        <v>30.454413625539075</v>
      </c>
      <c r="E65">
        <f t="shared" si="19"/>
        <v>0.30550880167378802</v>
      </c>
      <c r="F65">
        <v>7041194</v>
      </c>
      <c r="G65">
        <v>7.041194</v>
      </c>
      <c r="H65">
        <v>99.684243002783504</v>
      </c>
      <c r="I65">
        <v>9.3369999999999997</v>
      </c>
      <c r="J65">
        <v>0.93311350852943609</v>
      </c>
      <c r="K65">
        <v>0.78666666666666663</v>
      </c>
      <c r="L65">
        <f t="shared" si="14"/>
        <v>0.78666666666666663</v>
      </c>
      <c r="M65">
        <f t="shared" si="24"/>
        <v>1.4604728888888889E-3</v>
      </c>
      <c r="N65">
        <v>1.7461219221452069E-2</v>
      </c>
      <c r="O65">
        <v>561.25340790406472</v>
      </c>
      <c r="P65">
        <f t="shared" si="25"/>
        <v>99.830240854735848</v>
      </c>
      <c r="Q65">
        <f t="shared" si="20"/>
        <v>0.34268942664157737</v>
      </c>
      <c r="R65">
        <f t="shared" si="26"/>
        <v>35.445751741123992</v>
      </c>
      <c r="S65">
        <f t="shared" si="21"/>
        <v>2.816423293370677</v>
      </c>
      <c r="T65">
        <v>1.7461219221452069E-2</v>
      </c>
      <c r="U65">
        <f t="shared" si="22"/>
        <v>9.5029327927407721</v>
      </c>
      <c r="V65">
        <f t="shared" si="23"/>
        <v>0.34877954269655981</v>
      </c>
      <c r="W65">
        <f t="shared" si="12"/>
        <v>69.229829377244428</v>
      </c>
      <c r="X65">
        <f t="shared" si="13"/>
        <v>9832.1150329396442</v>
      </c>
      <c r="Y65">
        <v>61</v>
      </c>
    </row>
    <row r="66" spans="1:25" x14ac:dyDescent="0.3">
      <c r="A66">
        <v>2012</v>
      </c>
      <c r="B66">
        <v>444.18625924598501</v>
      </c>
      <c r="C66">
        <f t="shared" si="11"/>
        <v>3.6999999999999998E-2</v>
      </c>
      <c r="D66">
        <f t="shared" si="18"/>
        <v>31.398167058638421</v>
      </c>
      <c r="E66">
        <f t="shared" si="19"/>
        <v>0.30745816481346938</v>
      </c>
      <c r="F66">
        <v>7125828</v>
      </c>
      <c r="G66">
        <v>7.1258280000000003</v>
      </c>
      <c r="H66">
        <v>102.12175395533001</v>
      </c>
      <c r="I66">
        <v>9.4870000000000001</v>
      </c>
      <c r="J66">
        <v>0.95643943160859612</v>
      </c>
      <c r="K66">
        <v>0.83333333333333337</v>
      </c>
      <c r="L66">
        <f t="shared" si="14"/>
        <v>0.83333333333333337</v>
      </c>
      <c r="M66">
        <f t="shared" si="24"/>
        <v>1.6388888888888892E-3</v>
      </c>
      <c r="N66">
        <v>2.8493809288139289E-2</v>
      </c>
      <c r="O66">
        <v>558.41865164155911</v>
      </c>
      <c r="P66">
        <f t="shared" si="25"/>
        <v>102.29011292490593</v>
      </c>
      <c r="Q66">
        <f t="shared" si="20"/>
        <v>0.33982138650603089</v>
      </c>
      <c r="R66">
        <f t="shared" si="26"/>
        <v>36.17452520325768</v>
      </c>
      <c r="S66">
        <f t="shared" si="21"/>
        <v>2.8276836351039165</v>
      </c>
      <c r="T66">
        <v>2.8493809288139289E-2</v>
      </c>
      <c r="U66">
        <f t="shared" si="22"/>
        <v>9.7652491468412599</v>
      </c>
      <c r="V66">
        <f t="shared" si="23"/>
        <v>0.34978818432132736</v>
      </c>
      <c r="W66">
        <f t="shared" si="12"/>
        <v>70.723586896691586</v>
      </c>
      <c r="X66">
        <f t="shared" si="13"/>
        <v>9924.9640738860926</v>
      </c>
      <c r="Y66">
        <v>62</v>
      </c>
    </row>
    <row r="67" spans="1:25" x14ac:dyDescent="0.3">
      <c r="A67">
        <v>2013</v>
      </c>
      <c r="B67">
        <v>459.14953471252198</v>
      </c>
      <c r="C67">
        <f t="shared" si="11"/>
        <v>3.6999999999999998E-2</v>
      </c>
      <c r="D67">
        <f t="shared" si="18"/>
        <v>32.527888353102355</v>
      </c>
      <c r="E67">
        <f t="shared" si="19"/>
        <v>0.30840815110267777</v>
      </c>
      <c r="F67">
        <v>7210582</v>
      </c>
      <c r="G67">
        <v>7.2105819999999996</v>
      </c>
      <c r="H67">
        <v>105.47026152455</v>
      </c>
      <c r="I67">
        <v>9.5489999999999995</v>
      </c>
      <c r="J67">
        <v>0.97990149508502611</v>
      </c>
      <c r="K67">
        <v>0.87333333333333341</v>
      </c>
      <c r="L67">
        <f t="shared" si="14"/>
        <v>0.87333333333333341</v>
      </c>
      <c r="M67">
        <f t="shared" si="24"/>
        <v>1.7999982222222225E-3</v>
      </c>
      <c r="N67">
        <v>4.8708155563125931E-2</v>
      </c>
      <c r="O67">
        <v>555.59821305259402</v>
      </c>
      <c r="P67">
        <f t="shared" si="25"/>
        <v>105.66334914329192</v>
      </c>
      <c r="Q67">
        <f t="shared" si="20"/>
        <v>0.3311227240445766</v>
      </c>
      <c r="R67">
        <f t="shared" si="26"/>
        <v>36.912706923069891</v>
      </c>
      <c r="S67">
        <f t="shared" si="21"/>
        <v>2.8625196565374051</v>
      </c>
      <c r="T67">
        <v>4.8708155563125931E-2</v>
      </c>
      <c r="U67">
        <f t="shared" si="22"/>
        <v>10.037929007635524</v>
      </c>
      <c r="V67">
        <f t="shared" si="23"/>
        <v>0.34807690823901438</v>
      </c>
      <c r="W67">
        <f t="shared" si="12"/>
        <v>72.942373171447642</v>
      </c>
      <c r="X67">
        <f t="shared" si="13"/>
        <v>10116.017427088083</v>
      </c>
      <c r="Y67">
        <v>63</v>
      </c>
    </row>
    <row r="68" spans="1:25" x14ac:dyDescent="0.3">
      <c r="A68">
        <v>2014</v>
      </c>
      <c r="B68">
        <v>474.68889028126102</v>
      </c>
      <c r="C68">
        <f t="shared" si="11"/>
        <v>3.6999999999999998E-2</v>
      </c>
      <c r="D68">
        <f t="shared" si="18"/>
        <v>33.724332961641664</v>
      </c>
      <c r="E68">
        <f t="shared" si="19"/>
        <v>0.30918314468621994</v>
      </c>
      <c r="F68">
        <v>7295291</v>
      </c>
      <c r="G68">
        <v>7.2952909999999997</v>
      </c>
      <c r="H68">
        <v>109.075586885137</v>
      </c>
      <c r="I68">
        <v>9.6189999999999998</v>
      </c>
      <c r="J68">
        <v>1.0035671808615361</v>
      </c>
      <c r="K68">
        <v>0.93666666666666665</v>
      </c>
      <c r="L68">
        <f t="shared" si="14"/>
        <v>0.93666666666666665</v>
      </c>
      <c r="M68">
        <f t="shared" si="24"/>
        <v>2.0705328888888886E-3</v>
      </c>
      <c r="N68">
        <v>6.6852033857039708E-2</v>
      </c>
      <c r="O68">
        <v>552.79201982203642</v>
      </c>
      <c r="P68">
        <f t="shared" si="25"/>
        <v>109.30852027735335</v>
      </c>
      <c r="Q68">
        <f t="shared" si="20"/>
        <v>0.32242697925627206</v>
      </c>
      <c r="R68">
        <f t="shared" si="26"/>
        <v>37.664899385318549</v>
      </c>
      <c r="S68">
        <f t="shared" si="21"/>
        <v>2.9021322786265258</v>
      </c>
      <c r="T68">
        <v>6.6852033857039708E-2</v>
      </c>
      <c r="U68">
        <f t="shared" si="22"/>
        <v>10.308118700358769</v>
      </c>
      <c r="V68">
        <f t="shared" si="23"/>
        <v>0.34552610192034167</v>
      </c>
      <c r="W68">
        <f t="shared" si="12"/>
        <v>75.351253923495335</v>
      </c>
      <c r="X68">
        <f t="shared" si="13"/>
        <v>10328.752331263458</v>
      </c>
      <c r="Y68">
        <v>64</v>
      </c>
    </row>
    <row r="69" spans="1:25" x14ac:dyDescent="0.3">
      <c r="A69">
        <v>2015</v>
      </c>
      <c r="B69">
        <v>490.84973430249602</v>
      </c>
      <c r="C69">
        <f t="shared" ref="C69:C73" si="27">$C$1</f>
        <v>3.6999999999999998E-2</v>
      </c>
      <c r="D69">
        <f t="shared" si="18"/>
        <v>34.749889622711351</v>
      </c>
      <c r="E69">
        <f t="shared" si="19"/>
        <v>0.30959778893594792</v>
      </c>
      <c r="F69">
        <v>7379797</v>
      </c>
      <c r="G69">
        <v>7.3797969999999999</v>
      </c>
      <c r="H69">
        <v>112.242047148149</v>
      </c>
      <c r="I69">
        <v>9.61</v>
      </c>
      <c r="J69">
        <v>1.027434738287726</v>
      </c>
      <c r="K69">
        <v>1.1133333333333333</v>
      </c>
      <c r="L69">
        <f t="shared" si="14"/>
        <v>1.1133333333333333</v>
      </c>
      <c r="M69">
        <f t="shared" si="24"/>
        <v>2.9252462222222222E-3</v>
      </c>
      <c r="N69">
        <v>9.2651435930135334E-2</v>
      </c>
      <c r="O69">
        <v>550</v>
      </c>
      <c r="P69">
        <f t="shared" si="25"/>
        <v>112.58673312810808</v>
      </c>
      <c r="Q69">
        <f t="shared" si="20"/>
        <v>0.31274590728140872</v>
      </c>
      <c r="R69">
        <f t="shared" si="26"/>
        <v>38.43157567736489</v>
      </c>
      <c r="S69">
        <f t="shared" si="21"/>
        <v>2.9295372657441803</v>
      </c>
      <c r="T69">
        <v>9.2651435930135334E-2</v>
      </c>
      <c r="U69">
        <f t="shared" si="22"/>
        <v>10.591299066915195</v>
      </c>
      <c r="V69">
        <f t="shared" si="23"/>
        <v>0.34468110676078362</v>
      </c>
      <c r="W69">
        <f t="shared" ref="W69:W73" si="28">H69-D69</f>
        <v>77.492157525437648</v>
      </c>
      <c r="X69">
        <f t="shared" ref="X69:X73" si="29">W69*10^9/F69</f>
        <v>10500.581184745008</v>
      </c>
      <c r="Y69">
        <v>65</v>
      </c>
    </row>
    <row r="70" spans="1:25" x14ac:dyDescent="0.3">
      <c r="A70">
        <v>2016</v>
      </c>
      <c r="B70">
        <v>507.43818375601501</v>
      </c>
      <c r="C70">
        <f t="shared" si="27"/>
        <v>3.6999999999999998E-2</v>
      </c>
      <c r="D70">
        <f t="shared" si="18"/>
        <v>36.24527528769562</v>
      </c>
      <c r="E70">
        <f t="shared" si="19"/>
        <v>0.31402336729070524</v>
      </c>
      <c r="F70">
        <v>7464022</v>
      </c>
      <c r="G70">
        <v>7.4640219999999999</v>
      </c>
      <c r="H70">
        <v>115.422223512882</v>
      </c>
      <c r="I70">
        <v>9.6129999999999995</v>
      </c>
      <c r="J70">
        <v>1.051493091978716</v>
      </c>
      <c r="K70">
        <v>1.1833333333333333</v>
      </c>
      <c r="L70">
        <f t="shared" si="14"/>
        <v>1.1833333333333333</v>
      </c>
      <c r="M70">
        <f t="shared" si="24"/>
        <v>3.3046555555555556E-3</v>
      </c>
      <c r="N70">
        <v>0.11546717107599519</v>
      </c>
      <c r="O70">
        <v>547.222082</v>
      </c>
      <c r="P70">
        <f t="shared" si="25"/>
        <v>115.83207291876437</v>
      </c>
      <c r="Q70">
        <f t="shared" si="20"/>
        <v>0.30407840516418971</v>
      </c>
      <c r="R70">
        <f t="shared" si="26"/>
        <v>39.206118027343749</v>
      </c>
      <c r="S70">
        <f t="shared" si="21"/>
        <v>2.9544387138246879</v>
      </c>
      <c r="T70">
        <v>0.11546717107599519</v>
      </c>
      <c r="U70">
        <f t="shared" si="22"/>
        <v>10.867883797703461</v>
      </c>
      <c r="V70">
        <f t="shared" si="23"/>
        <v>0.34377288803863582</v>
      </c>
      <c r="W70">
        <f t="shared" si="28"/>
        <v>79.176948225186379</v>
      </c>
      <c r="X70">
        <f t="shared" si="29"/>
        <v>10607.812815287305</v>
      </c>
      <c r="Y70">
        <v>66</v>
      </c>
    </row>
    <row r="71" spans="1:25" x14ac:dyDescent="0.3">
      <c r="A71">
        <v>2017</v>
      </c>
      <c r="B71">
        <v>524.90824624473805</v>
      </c>
      <c r="C71">
        <f t="shared" si="27"/>
        <v>3.6999999999999998E-2</v>
      </c>
      <c r="D71">
        <f t="shared" si="18"/>
        <v>37.872338560036269</v>
      </c>
      <c r="E71">
        <f t="shared" si="19"/>
        <v>0.31817804847649178</v>
      </c>
      <c r="F71">
        <v>7547859</v>
      </c>
      <c r="G71">
        <v>7.5478589999999999</v>
      </c>
      <c r="H71">
        <v>119.028759970644</v>
      </c>
      <c r="I71">
        <v>9.7420000000000009</v>
      </c>
      <c r="J71">
        <v>1.0757165335116061</v>
      </c>
      <c r="K71">
        <v>1.0833333333333333</v>
      </c>
      <c r="L71">
        <f t="shared" si="14"/>
        <v>1.0833333333333333</v>
      </c>
      <c r="M71">
        <f t="shared" si="24"/>
        <v>2.769722222222222E-3</v>
      </c>
      <c r="N71">
        <v>0.12647165636326321</v>
      </c>
      <c r="O71">
        <v>544.45819459711765</v>
      </c>
      <c r="P71">
        <f t="shared" si="25"/>
        <v>119.39402444188046</v>
      </c>
      <c r="Q71">
        <f t="shared" si="20"/>
        <v>0.29896544795150731</v>
      </c>
      <c r="R71">
        <f t="shared" si="26"/>
        <v>40.001550798867889</v>
      </c>
      <c r="S71">
        <f t="shared" si="21"/>
        <v>2.984734892959688</v>
      </c>
      <c r="T71">
        <v>0.12647165636326321</v>
      </c>
      <c r="U71">
        <f t="shared" si="22"/>
        <v>11.152471549396322</v>
      </c>
      <c r="V71">
        <f t="shared" si="23"/>
        <v>0.34225042625043234</v>
      </c>
      <c r="W71">
        <f t="shared" si="28"/>
        <v>81.156421410607734</v>
      </c>
      <c r="X71">
        <f t="shared" si="29"/>
        <v>10752.243968866896</v>
      </c>
      <c r="Y71">
        <v>67</v>
      </c>
    </row>
    <row r="72" spans="1:25" x14ac:dyDescent="0.3">
      <c r="A72">
        <v>2018</v>
      </c>
      <c r="B72">
        <v>543.35897969371899</v>
      </c>
      <c r="C72">
        <f t="shared" si="27"/>
        <v>3.6999999999999998E-2</v>
      </c>
      <c r="D72">
        <f t="shared" si="18"/>
        <v>38.765950440847632</v>
      </c>
      <c r="E72">
        <f t="shared" si="19"/>
        <v>0.31761427164087425</v>
      </c>
      <c r="F72">
        <v>7631091</v>
      </c>
      <c r="G72">
        <v>7.6310909999999996</v>
      </c>
      <c r="H72">
        <v>122.053553326093</v>
      </c>
      <c r="I72">
        <v>9.94</v>
      </c>
      <c r="J72">
        <v>1.100134407600466</v>
      </c>
      <c r="K72">
        <v>1.0066666666666666</v>
      </c>
      <c r="L72">
        <f t="shared" si="14"/>
        <v>1.0066666666666666</v>
      </c>
      <c r="M72">
        <f t="shared" si="24"/>
        <v>2.3915715555555554E-3</v>
      </c>
      <c r="N72">
        <v>0.12974923551941558</v>
      </c>
      <c r="O72">
        <v>541.70826692617425</v>
      </c>
      <c r="P72">
        <f t="shared" si="25"/>
        <v>122.38375797129405</v>
      </c>
      <c r="Q72">
        <f t="shared" si="20"/>
        <v>0.29758981586872502</v>
      </c>
      <c r="R72">
        <f t="shared" si="26"/>
        <v>40.819304433484334</v>
      </c>
      <c r="S72">
        <f t="shared" si="21"/>
        <v>2.9981833269775628</v>
      </c>
      <c r="T72">
        <v>0.12974923551941558</v>
      </c>
      <c r="U72">
        <f t="shared" si="22"/>
        <v>11.421995137151947</v>
      </c>
      <c r="V72">
        <f t="shared" si="23"/>
        <v>0.34195869514270827</v>
      </c>
      <c r="W72">
        <f t="shared" si="28"/>
        <v>83.287602885245363</v>
      </c>
      <c r="X72">
        <f t="shared" si="29"/>
        <v>10914.245798568692</v>
      </c>
      <c r="Y72">
        <v>68</v>
      </c>
    </row>
    <row r="73" spans="1:25" x14ac:dyDescent="0.3">
      <c r="A73">
        <v>2019</v>
      </c>
      <c r="B73">
        <v>562.02064788589905</v>
      </c>
      <c r="C73">
        <f t="shared" si="27"/>
        <v>3.6999999999999998E-2</v>
      </c>
      <c r="F73">
        <v>7713468</v>
      </c>
      <c r="G73">
        <v>7.7134679999999998</v>
      </c>
      <c r="H73">
        <v>124.91422970255699</v>
      </c>
      <c r="I73">
        <v>9.9456222159236809</v>
      </c>
      <c r="K73">
        <v>1.1366666666666665</v>
      </c>
      <c r="L73">
        <f t="shared" si="14"/>
        <v>1.1366666666666665</v>
      </c>
      <c r="M73">
        <f t="shared" si="24"/>
        <v>3.0491462222222215E-3</v>
      </c>
      <c r="N73">
        <v>0.14938161323502655</v>
      </c>
      <c r="O73">
        <v>538.97222847991418</v>
      </c>
      <c r="P73">
        <f t="shared" si="25"/>
        <v>125.35031188488544</v>
      </c>
      <c r="Q73">
        <f t="shared" si="20"/>
        <v>0.29071136123386337</v>
      </c>
      <c r="R73">
        <f t="shared" si="26"/>
        <v>41.635224669713082</v>
      </c>
      <c r="S73">
        <f t="shared" si="21"/>
        <v>3.0106793677534696</v>
      </c>
      <c r="T73">
        <v>0.14938161323502655</v>
      </c>
      <c r="U73">
        <f t="shared" si="22"/>
        <v>11.692225762657614</v>
      </c>
      <c r="V73">
        <f t="shared" si="23"/>
        <v>0.341764727587751</v>
      </c>
      <c r="W73">
        <f t="shared" si="28"/>
        <v>124.91422970255699</v>
      </c>
      <c r="X73">
        <f t="shared" si="29"/>
        <v>16194.301927817292</v>
      </c>
      <c r="Y73">
        <v>69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3"/>
  <sheetViews>
    <sheetView topLeftCell="G3" workbookViewId="0">
      <selection activeCell="P4" sqref="P4"/>
    </sheetView>
  </sheetViews>
  <sheetFormatPr baseColWidth="10" defaultRowHeight="14.4" x14ac:dyDescent="0.3"/>
  <cols>
    <col min="4" max="5" width="12" bestFit="1" customWidth="1"/>
    <col min="13" max="13" width="12.5546875" customWidth="1"/>
  </cols>
  <sheetData>
    <row r="1" spans="1:22" x14ac:dyDescent="0.3">
      <c r="A1" t="s">
        <v>4</v>
      </c>
      <c r="B1" t="s">
        <v>5</v>
      </c>
      <c r="C1">
        <v>3.6999999999999998E-2</v>
      </c>
      <c r="M1" t="s">
        <v>22</v>
      </c>
      <c r="N1" t="s">
        <v>19</v>
      </c>
      <c r="O1">
        <v>2.6</v>
      </c>
      <c r="R1" t="s">
        <v>2</v>
      </c>
      <c r="S1">
        <v>0.39313300000000001</v>
      </c>
    </row>
    <row r="2" spans="1:22" x14ac:dyDescent="0.3">
      <c r="L2" s="1">
        <v>0</v>
      </c>
      <c r="M2">
        <v>7.4380000000000002E-3</v>
      </c>
      <c r="N2" s="1"/>
      <c r="O2" s="1"/>
      <c r="P2" s="1"/>
      <c r="Q2" s="1"/>
    </row>
    <row r="3" spans="1:22" x14ac:dyDescent="0.3">
      <c r="A3" t="s">
        <v>3</v>
      </c>
      <c r="B3" t="s">
        <v>0</v>
      </c>
      <c r="D3" t="s">
        <v>7</v>
      </c>
      <c r="E3" t="s">
        <v>6</v>
      </c>
      <c r="F3" t="s">
        <v>1</v>
      </c>
      <c r="H3" t="s">
        <v>16</v>
      </c>
      <c r="I3" t="s">
        <v>17</v>
      </c>
      <c r="J3" t="s">
        <v>9</v>
      </c>
      <c r="K3" t="s">
        <v>10</v>
      </c>
      <c r="L3" t="s">
        <v>8</v>
      </c>
      <c r="M3" t="s">
        <v>12</v>
      </c>
      <c r="N3" t="s">
        <v>11</v>
      </c>
      <c r="O3" t="s">
        <v>18</v>
      </c>
      <c r="P3" t="s">
        <v>20</v>
      </c>
      <c r="Q3" t="s">
        <v>15</v>
      </c>
      <c r="R3" t="s">
        <v>21</v>
      </c>
      <c r="S3" t="s">
        <v>14</v>
      </c>
      <c r="T3" t="s">
        <v>24</v>
      </c>
      <c r="U3" t="s">
        <v>25</v>
      </c>
      <c r="V3" t="s">
        <v>15</v>
      </c>
    </row>
    <row r="4" spans="1:22" x14ac:dyDescent="0.3">
      <c r="A4">
        <v>1950</v>
      </c>
      <c r="B4">
        <v>60.137696392985902</v>
      </c>
      <c r="C4">
        <f>$C$1</f>
        <v>3.6999999999999998E-2</v>
      </c>
      <c r="D4">
        <f t="shared" ref="D4:D13" si="0">B5-(1-C4)*B4</f>
        <v>3.8255114858513792</v>
      </c>
      <c r="E4">
        <f t="shared" ref="E4:E13" si="1">D4/H4</f>
        <v>0.34718018248111943</v>
      </c>
      <c r="F4">
        <v>2536431</v>
      </c>
      <c r="G4">
        <f t="shared" ref="G4:G12" si="2">F4/10^6</f>
        <v>2.5364309999999999</v>
      </c>
      <c r="H4">
        <v>11.018807175318599</v>
      </c>
      <c r="I4">
        <v>1.6086959685</v>
      </c>
      <c r="J4">
        <v>0.17936417380448505</v>
      </c>
      <c r="K4">
        <v>7.6666666666666661E-2</v>
      </c>
      <c r="L4">
        <f t="shared" ref="L4:L13" si="3">MAX(0,K4-$L$2)</f>
        <v>7.6666666666666661E-2</v>
      </c>
      <c r="M4">
        <f t="shared" ref="M4:M13" si="4">$M$2*L4^2</f>
        <v>4.3718911111111108E-5</v>
      </c>
      <c r="N4">
        <v>0</v>
      </c>
      <c r="O4">
        <v>764.36816254357393</v>
      </c>
      <c r="P4">
        <f t="shared" ref="P4:P13" si="5">(H4+I4*3.664*N4^$O$1*O4/(1000*$O$1))/(1-M4)</f>
        <v>11.01928892663169</v>
      </c>
      <c r="Q4">
        <f t="shared" ref="Q4:Q13" si="6">I4*3.664/P4</f>
        <v>0.53490402763998701</v>
      </c>
      <c r="R4">
        <f t="shared" ref="R4:R13" si="7">B4^$S$1*G4^(1-$S$1)</f>
        <v>8.8054376339073173</v>
      </c>
      <c r="S4">
        <f t="shared" ref="S4:S13" si="8">P4/R4</f>
        <v>1.2514186556951401</v>
      </c>
      <c r="T4">
        <v>0</v>
      </c>
      <c r="U4">
        <f t="shared" ref="U4:U13" si="9">I4/(1-T4)</f>
        <v>1.6086959685</v>
      </c>
      <c r="V4">
        <f t="shared" ref="V4:V13" si="10">U4*3.664/P4</f>
        <v>0.53490402763998701</v>
      </c>
    </row>
    <row r="5" spans="1:22" x14ac:dyDescent="0.3">
      <c r="A5">
        <v>1951</v>
      </c>
      <c r="B5">
        <v>61.738113112296801</v>
      </c>
      <c r="C5">
        <f t="shared" ref="C5:C68" si="11">$C$1</f>
        <v>3.6999999999999998E-2</v>
      </c>
      <c r="D5">
        <f t="shared" si="0"/>
        <v>3.7632228188446817</v>
      </c>
      <c r="E5">
        <f t="shared" si="1"/>
        <v>0.32348426619116</v>
      </c>
      <c r="F5">
        <v>2584034</v>
      </c>
      <c r="G5">
        <f t="shared" si="2"/>
        <v>2.5840339999999999</v>
      </c>
      <c r="H5">
        <v>11.633402956979801</v>
      </c>
      <c r="I5">
        <v>1.734959827</v>
      </c>
      <c r="J5">
        <v>0.18084093448841809</v>
      </c>
      <c r="K5">
        <v>0.20666666666666667</v>
      </c>
      <c r="L5">
        <f t="shared" si="3"/>
        <v>0.20666666666666667</v>
      </c>
      <c r="M5">
        <f t="shared" si="4"/>
        <v>3.1768524444444445E-4</v>
      </c>
      <c r="N5">
        <v>0</v>
      </c>
      <c r="O5">
        <v>760.50752240292536</v>
      </c>
      <c r="P5">
        <f t="shared" si="5"/>
        <v>11.637099891903585</v>
      </c>
      <c r="Q5">
        <f t="shared" si="6"/>
        <v>0.54626091252776432</v>
      </c>
      <c r="R5">
        <f t="shared" si="7"/>
        <v>8.9977888432389364</v>
      </c>
      <c r="S5">
        <f t="shared" si="8"/>
        <v>1.2933288494148052</v>
      </c>
      <c r="T5">
        <v>0</v>
      </c>
      <c r="U5">
        <f t="shared" si="9"/>
        <v>1.734959827</v>
      </c>
      <c r="V5">
        <f t="shared" si="10"/>
        <v>0.54626091252776432</v>
      </c>
    </row>
    <row r="6" spans="1:22" x14ac:dyDescent="0.3">
      <c r="A6">
        <v>1952</v>
      </c>
      <c r="B6">
        <v>63.217025745986497</v>
      </c>
      <c r="C6">
        <f t="shared" si="11"/>
        <v>3.6999999999999998E-2</v>
      </c>
      <c r="D6">
        <f t="shared" si="0"/>
        <v>3.9558424826363989</v>
      </c>
      <c r="E6">
        <f t="shared" si="1"/>
        <v>0.32773126613116699</v>
      </c>
      <c r="F6">
        <v>2630862</v>
      </c>
      <c r="G6">
        <f t="shared" si="2"/>
        <v>2.630862</v>
      </c>
      <c r="H6">
        <v>12.070384767784599</v>
      </c>
      <c r="I6">
        <v>1.7580555105</v>
      </c>
      <c r="J6">
        <v>0.18119531431390007</v>
      </c>
      <c r="K6">
        <v>0.27333333333333332</v>
      </c>
      <c r="L6">
        <f t="shared" si="3"/>
        <v>0.27333333333333332</v>
      </c>
      <c r="M6">
        <f t="shared" si="4"/>
        <v>5.5570124444444442E-4</v>
      </c>
      <c r="N6">
        <v>0</v>
      </c>
      <c r="O6">
        <v>756.66638142907357</v>
      </c>
      <c r="P6">
        <f t="shared" si="5"/>
        <v>12.07709602507501</v>
      </c>
      <c r="Q6">
        <f t="shared" si="6"/>
        <v>0.53336624773851571</v>
      </c>
      <c r="R6">
        <f t="shared" si="7"/>
        <v>9.1814431706518889</v>
      </c>
      <c r="S6">
        <f t="shared" si="8"/>
        <v>1.3153810137037016</v>
      </c>
      <c r="T6">
        <v>0</v>
      </c>
      <c r="U6">
        <f t="shared" si="9"/>
        <v>1.7580555105</v>
      </c>
      <c r="V6">
        <f t="shared" si="10"/>
        <v>0.53336624773851571</v>
      </c>
    </row>
    <row r="7" spans="1:22" x14ac:dyDescent="0.3">
      <c r="A7">
        <v>1953</v>
      </c>
      <c r="B7">
        <v>64.833838276021396</v>
      </c>
      <c r="C7">
        <f t="shared" si="11"/>
        <v>3.6999999999999998E-2</v>
      </c>
      <c r="D7">
        <f t="shared" si="0"/>
        <v>4.1665944256869025</v>
      </c>
      <c r="E7">
        <f t="shared" si="1"/>
        <v>0.32977079180915303</v>
      </c>
      <c r="F7">
        <v>2677609</v>
      </c>
      <c r="G7">
        <f t="shared" si="2"/>
        <v>2.6776089999999999</v>
      </c>
      <c r="H7">
        <v>12.634819484250199</v>
      </c>
      <c r="I7">
        <v>1.806907552</v>
      </c>
      <c r="J7">
        <v>0.18137520946322205</v>
      </c>
      <c r="K7">
        <v>0.35000000000000003</v>
      </c>
      <c r="L7">
        <f t="shared" si="3"/>
        <v>0.35000000000000003</v>
      </c>
      <c r="M7">
        <f t="shared" si="4"/>
        <v>9.1115500000000019E-4</v>
      </c>
      <c r="N7">
        <v>0</v>
      </c>
      <c r="O7">
        <v>752.84464113640684</v>
      </c>
      <c r="P7">
        <f t="shared" si="5"/>
        <v>12.646342262234146</v>
      </c>
      <c r="Q7">
        <f t="shared" si="6"/>
        <v>0.52351178967367262</v>
      </c>
      <c r="R7">
        <f t="shared" si="7"/>
        <v>9.3726993445396936</v>
      </c>
      <c r="S7">
        <f t="shared" si="8"/>
        <v>1.3492742909332303</v>
      </c>
      <c r="T7">
        <v>0</v>
      </c>
      <c r="U7">
        <f t="shared" si="9"/>
        <v>1.806907552</v>
      </c>
      <c r="V7">
        <f t="shared" si="10"/>
        <v>0.52351178967367262</v>
      </c>
    </row>
    <row r="8" spans="1:22" x14ac:dyDescent="0.3">
      <c r="A8">
        <v>1954</v>
      </c>
      <c r="B8">
        <v>66.601580685495506</v>
      </c>
      <c r="C8">
        <f t="shared" si="11"/>
        <v>3.6999999999999998E-2</v>
      </c>
      <c r="D8">
        <f t="shared" si="0"/>
        <v>4.5111545331738228</v>
      </c>
      <c r="E8">
        <f t="shared" si="1"/>
        <v>0.34838259522888398</v>
      </c>
      <c r="F8">
        <v>2724847</v>
      </c>
      <c r="G8">
        <f t="shared" si="2"/>
        <v>2.724847</v>
      </c>
      <c r="H8">
        <v>12.9488516216203</v>
      </c>
      <c r="I8">
        <v>1.8452669865</v>
      </c>
      <c r="J8">
        <v>0.18200330961907407</v>
      </c>
      <c r="K8">
        <v>0.13</v>
      </c>
      <c r="L8">
        <f t="shared" si="3"/>
        <v>0.13</v>
      </c>
      <c r="M8">
        <f t="shared" si="4"/>
        <v>1.2570220000000001E-4</v>
      </c>
      <c r="N8">
        <v>0</v>
      </c>
      <c r="O8">
        <v>749.04220353674066</v>
      </c>
      <c r="P8">
        <f t="shared" si="5"/>
        <v>12.950479525387696</v>
      </c>
      <c r="Q8">
        <f t="shared" si="6"/>
        <v>0.52207010754172023</v>
      </c>
      <c r="R8">
        <f t="shared" si="7"/>
        <v>9.5734112094807262</v>
      </c>
      <c r="S8">
        <f t="shared" si="8"/>
        <v>1.3527549628874811</v>
      </c>
      <c r="T8">
        <v>0</v>
      </c>
      <c r="U8">
        <f t="shared" si="9"/>
        <v>1.8452669865</v>
      </c>
      <c r="V8">
        <f t="shared" si="10"/>
        <v>0.52207010754172023</v>
      </c>
    </row>
    <row r="9" spans="1:22" x14ac:dyDescent="0.3">
      <c r="A9">
        <v>1955</v>
      </c>
      <c r="B9">
        <v>68.648476733305998</v>
      </c>
      <c r="C9">
        <f t="shared" si="11"/>
        <v>3.6999999999999998E-2</v>
      </c>
      <c r="D9">
        <f t="shared" si="0"/>
        <v>4.6595402935009247</v>
      </c>
      <c r="E9">
        <f t="shared" si="1"/>
        <v>0.34130519242142204</v>
      </c>
      <c r="F9">
        <v>2773020</v>
      </c>
      <c r="G9">
        <f t="shared" si="2"/>
        <v>2.7730199999999998</v>
      </c>
      <c r="H9">
        <v>13.652122490265601</v>
      </c>
      <c r="I9">
        <v>2.0224472035000001</v>
      </c>
      <c r="J9">
        <v>0.18302297293406306</v>
      </c>
      <c r="K9">
        <v>9.6666666666666679E-2</v>
      </c>
      <c r="L9">
        <f t="shared" si="3"/>
        <v>9.6666666666666679E-2</v>
      </c>
      <c r="M9">
        <f t="shared" si="4"/>
        <v>6.95039777777778E-5</v>
      </c>
      <c r="N9">
        <v>0</v>
      </c>
      <c r="O9">
        <v>745.25897113680537</v>
      </c>
      <c r="P9">
        <f t="shared" si="5"/>
        <v>13.653071433039083</v>
      </c>
      <c r="Q9">
        <f t="shared" si="6"/>
        <v>0.5427530786729744</v>
      </c>
      <c r="R9">
        <f t="shared" si="7"/>
        <v>9.7916025543617966</v>
      </c>
      <c r="S9">
        <f t="shared" si="8"/>
        <v>1.3943653612612315</v>
      </c>
      <c r="T9">
        <v>0</v>
      </c>
      <c r="U9">
        <f t="shared" si="9"/>
        <v>2.0224472035000001</v>
      </c>
      <c r="V9">
        <f t="shared" si="10"/>
        <v>0.5427530786729744</v>
      </c>
    </row>
    <row r="10" spans="1:22" x14ac:dyDescent="0.3">
      <c r="A10">
        <v>1956</v>
      </c>
      <c r="B10">
        <v>70.768023387674603</v>
      </c>
      <c r="C10">
        <f t="shared" si="11"/>
        <v>3.6999999999999998E-2</v>
      </c>
      <c r="D10">
        <f t="shared" si="0"/>
        <v>4.8333846910828555</v>
      </c>
      <c r="E10">
        <f t="shared" si="1"/>
        <v>0.34114213810515942</v>
      </c>
      <c r="F10">
        <v>2822443</v>
      </c>
      <c r="G10">
        <f t="shared" si="2"/>
        <v>2.8224429999999998</v>
      </c>
      <c r="H10">
        <v>14.1682429439219</v>
      </c>
      <c r="I10">
        <v>2.1528965394999999</v>
      </c>
      <c r="J10">
        <v>0.18445054798044708</v>
      </c>
      <c r="K10">
        <v>3.3333333333333333E-2</v>
      </c>
      <c r="L10">
        <f t="shared" si="3"/>
        <v>3.3333333333333333E-2</v>
      </c>
      <c r="M10">
        <f t="shared" si="4"/>
        <v>8.264444444444444E-6</v>
      </c>
      <c r="N10">
        <v>0</v>
      </c>
      <c r="O10">
        <v>741.49484693574641</v>
      </c>
      <c r="P10">
        <f t="shared" si="5"/>
        <v>14.1683600375463</v>
      </c>
      <c r="Q10">
        <f t="shared" si="6"/>
        <v>0.55674848040451785</v>
      </c>
      <c r="R10">
        <f t="shared" si="7"/>
        <v>10.016166752291893</v>
      </c>
      <c r="S10">
        <f t="shared" si="8"/>
        <v>1.4145491372040411</v>
      </c>
      <c r="T10">
        <v>0</v>
      </c>
      <c r="U10">
        <f t="shared" si="9"/>
        <v>2.1528965394999999</v>
      </c>
      <c r="V10">
        <f t="shared" si="10"/>
        <v>0.55674848040451785</v>
      </c>
    </row>
    <row r="11" spans="1:22" x14ac:dyDescent="0.3">
      <c r="A11">
        <v>1957</v>
      </c>
      <c r="B11">
        <v>72.982991213413499</v>
      </c>
      <c r="C11">
        <f t="shared" si="11"/>
        <v>3.6999999999999998E-2</v>
      </c>
      <c r="D11">
        <f t="shared" si="0"/>
        <v>4.8526070070648046</v>
      </c>
      <c r="E11">
        <f t="shared" si="1"/>
        <v>0.33057393317060135</v>
      </c>
      <c r="F11">
        <v>2873306</v>
      </c>
      <c r="G11">
        <f t="shared" si="2"/>
        <v>2.8733059999999999</v>
      </c>
      <c r="H11">
        <v>14.6793395369153</v>
      </c>
      <c r="I11">
        <v>2.2237669594999998</v>
      </c>
      <c r="J11">
        <v>0.18633425249196606</v>
      </c>
      <c r="K11">
        <v>0.28666666666666668</v>
      </c>
      <c r="L11">
        <f t="shared" si="3"/>
        <v>0.28666666666666668</v>
      </c>
      <c r="M11">
        <f t="shared" si="4"/>
        <v>6.1123831111111111E-4</v>
      </c>
      <c r="N11">
        <v>0</v>
      </c>
      <c r="O11">
        <v>737.74973442263718</v>
      </c>
      <c r="P11">
        <f t="shared" si="5"/>
        <v>14.688317599357795</v>
      </c>
      <c r="Q11">
        <f t="shared" si="6"/>
        <v>0.55471854312057101</v>
      </c>
      <c r="R11">
        <f t="shared" si="7"/>
        <v>10.248746631469508</v>
      </c>
      <c r="S11">
        <f t="shared" si="8"/>
        <v>1.4331818443297513</v>
      </c>
      <c r="T11">
        <v>0</v>
      </c>
      <c r="U11">
        <f t="shared" si="9"/>
        <v>2.2237669594999998</v>
      </c>
      <c r="V11">
        <f t="shared" si="10"/>
        <v>0.55471854312057101</v>
      </c>
    </row>
    <row r="12" spans="1:22" x14ac:dyDescent="0.3">
      <c r="A12">
        <v>1958</v>
      </c>
      <c r="B12">
        <v>75.135227545581998</v>
      </c>
      <c r="C12">
        <f t="shared" si="11"/>
        <v>3.6999999999999998E-2</v>
      </c>
      <c r="D12">
        <f t="shared" si="0"/>
        <v>5.1843400255578445</v>
      </c>
      <c r="E12">
        <f t="shared" si="1"/>
        <v>0.34457026890396336</v>
      </c>
      <c r="F12">
        <v>2925687</v>
      </c>
      <c r="G12">
        <f t="shared" si="2"/>
        <v>2.9256869999999999</v>
      </c>
      <c r="H12">
        <v>15.045813563801101</v>
      </c>
      <c r="I12">
        <v>2.2866228624999998</v>
      </c>
      <c r="J12">
        <v>0.18889815802519005</v>
      </c>
      <c r="K12">
        <v>0.32333333333333331</v>
      </c>
      <c r="L12">
        <f t="shared" si="3"/>
        <v>0.32333333333333331</v>
      </c>
      <c r="M12">
        <f t="shared" si="4"/>
        <v>7.776015777777776E-4</v>
      </c>
      <c r="N12">
        <v>0</v>
      </c>
      <c r="O12">
        <v>734.02353757400465</v>
      </c>
      <c r="P12">
        <f t="shared" si="5"/>
        <v>15.057522316912156</v>
      </c>
      <c r="Q12">
        <f t="shared" si="6"/>
        <v>0.55641200403799984</v>
      </c>
      <c r="R12">
        <f t="shared" si="7"/>
        <v>10.480797457161811</v>
      </c>
      <c r="S12">
        <f t="shared" si="8"/>
        <v>1.4366771592006049</v>
      </c>
      <c r="T12">
        <v>0</v>
      </c>
      <c r="U12">
        <f t="shared" si="9"/>
        <v>2.2866228624999998</v>
      </c>
      <c r="V12">
        <f t="shared" si="10"/>
        <v>0.55641200403799984</v>
      </c>
    </row>
    <row r="13" spans="1:22" x14ac:dyDescent="0.3">
      <c r="A13">
        <v>1959</v>
      </c>
      <c r="B13">
        <v>77.5395641519533</v>
      </c>
      <c r="C13">
        <f t="shared" si="11"/>
        <v>3.6999999999999998E-2</v>
      </c>
      <c r="D13">
        <f t="shared" si="0"/>
        <v>5.6379383980275719</v>
      </c>
      <c r="E13">
        <f t="shared" si="1"/>
        <v>0.35942985732780364</v>
      </c>
      <c r="F13">
        <v>2979576</v>
      </c>
      <c r="G13">
        <f>F13/10^6</f>
        <v>2.9795759999999998</v>
      </c>
      <c r="H13">
        <v>15.685782032530801</v>
      </c>
      <c r="I13">
        <v>2.415</v>
      </c>
      <c r="J13">
        <v>0.19275882652255805</v>
      </c>
      <c r="K13">
        <v>0.29000000000000004</v>
      </c>
      <c r="L13">
        <f t="shared" si="3"/>
        <v>0.29000000000000004</v>
      </c>
      <c r="M13">
        <f t="shared" si="4"/>
        <v>6.2553580000000014E-4</v>
      </c>
      <c r="N13">
        <v>0</v>
      </c>
      <c r="O13">
        <v>730.31616085136739</v>
      </c>
      <c r="P13">
        <f t="shared" si="5"/>
        <v>15.695600192353606</v>
      </c>
      <c r="Q13">
        <f t="shared" si="6"/>
        <v>0.56376053744735011</v>
      </c>
      <c r="R13">
        <f t="shared" si="7"/>
        <v>10.729579068546366</v>
      </c>
      <c r="S13">
        <f t="shared" si="8"/>
        <v>1.4628346640703802</v>
      </c>
      <c r="T13">
        <v>0</v>
      </c>
      <c r="U13">
        <f t="shared" si="9"/>
        <v>2.415</v>
      </c>
      <c r="V13">
        <f t="shared" si="10"/>
        <v>0.56376053744735011</v>
      </c>
    </row>
    <row r="14" spans="1:22" x14ac:dyDescent="0.3">
      <c r="A14">
        <v>1960</v>
      </c>
      <c r="B14">
        <v>80.308538676358594</v>
      </c>
      <c r="C14">
        <f t="shared" si="11"/>
        <v>3.6999999999999998E-2</v>
      </c>
      <c r="D14">
        <f>B15-(1-C14)*B14</f>
        <v>5.8257843888043794</v>
      </c>
      <c r="E14">
        <f>D14/H14</f>
        <v>0.35466297578869205</v>
      </c>
      <c r="F14">
        <v>3034950</v>
      </c>
      <c r="G14">
        <v>3.0349499999999998</v>
      </c>
      <c r="H14">
        <v>16.426254744660401</v>
      </c>
      <c r="I14">
        <v>2.548</v>
      </c>
      <c r="J14">
        <v>0.19819797409740808</v>
      </c>
      <c r="K14">
        <v>0.24333333333333332</v>
      </c>
      <c r="L14">
        <f t="shared" ref="L14:L73" si="12">MAX(0,K14-$L$2)</f>
        <v>0.24333333333333332</v>
      </c>
      <c r="M14">
        <f t="shared" ref="M14:M45" si="13">$M$2*L14^2</f>
        <v>4.4041224444444439E-4</v>
      </c>
      <c r="N14">
        <v>0</v>
      </c>
      <c r="O14">
        <v>726.62750919878567</v>
      </c>
      <c r="P14">
        <f t="shared" ref="P14:P45" si="14">(H14+I14*3.664*N14^$O$1*O14/(1000*$O$1))/(1-M14)</f>
        <v>16.43349225586887</v>
      </c>
      <c r="Q14">
        <f>I14*3.664/P14</f>
        <v>0.56810030726523708</v>
      </c>
      <c r="R14">
        <f t="shared" ref="R14:R45" si="15">B14^$S$1*G14^(1-$S$1)</f>
        <v>11.000857766365446</v>
      </c>
      <c r="S14">
        <f>P14/R14</f>
        <v>1.4938373538573895</v>
      </c>
      <c r="T14">
        <v>0</v>
      </c>
      <c r="U14">
        <f>I14/(1-T14)</f>
        <v>2.548</v>
      </c>
      <c r="V14">
        <f>U14*3.664/P14</f>
        <v>0.56810030726523708</v>
      </c>
    </row>
    <row r="15" spans="1:22" x14ac:dyDescent="0.3">
      <c r="A15">
        <v>1961</v>
      </c>
      <c r="B15">
        <v>83.162907134137697</v>
      </c>
      <c r="C15">
        <f t="shared" si="11"/>
        <v>3.6999999999999998E-2</v>
      </c>
      <c r="D15">
        <f t="shared" ref="D15:D72" si="16">B16-(1-C15)*B15</f>
        <v>6.0296889676300083</v>
      </c>
      <c r="E15">
        <f t="shared" ref="E15:E72" si="17">D15/H15</f>
        <v>0.35558845359282121</v>
      </c>
      <c r="F15">
        <v>3091844</v>
      </c>
      <c r="G15">
        <v>3.091844</v>
      </c>
      <c r="H15">
        <v>16.956931269018401</v>
      </c>
      <c r="I15">
        <v>2.5529999999999999</v>
      </c>
      <c r="J15">
        <v>0.20399596715249407</v>
      </c>
      <c r="K15">
        <v>0.31</v>
      </c>
      <c r="L15">
        <f t="shared" si="12"/>
        <v>0.31</v>
      </c>
      <c r="M15">
        <f t="shared" si="13"/>
        <v>7.1479180000000005E-4</v>
      </c>
      <c r="N15">
        <v>0</v>
      </c>
      <c r="O15">
        <v>722.95748804042478</v>
      </c>
      <c r="P15">
        <f t="shared" si="14"/>
        <v>16.969060614399275</v>
      </c>
      <c r="Q15">
        <f t="shared" ref="Q15:Q73" si="18">I15*3.664/P15</f>
        <v>0.55124984302680857</v>
      </c>
      <c r="R15">
        <f t="shared" si="15"/>
        <v>11.279363064505862</v>
      </c>
      <c r="S15">
        <f t="shared" ref="S15:S73" si="19">P15/R15</f>
        <v>1.5044342945035498</v>
      </c>
      <c r="T15">
        <v>0</v>
      </c>
      <c r="U15">
        <f t="shared" ref="U15:U73" si="20">I15/(1-T15)</f>
        <v>2.5529999999999999</v>
      </c>
      <c r="V15">
        <f t="shared" ref="V15:V73" si="21">U15*3.664/P15</f>
        <v>0.55124984302680857</v>
      </c>
    </row>
    <row r="16" spans="1:22" x14ac:dyDescent="0.3">
      <c r="A16">
        <v>1962</v>
      </c>
      <c r="B16">
        <v>86.115568537804606</v>
      </c>
      <c r="C16">
        <f t="shared" si="11"/>
        <v>3.6999999999999998E-2</v>
      </c>
      <c r="D16">
        <f t="shared" si="16"/>
        <v>6.2971838074768698</v>
      </c>
      <c r="E16">
        <f t="shared" si="17"/>
        <v>0.35487718350573683</v>
      </c>
      <c r="F16">
        <v>3150421</v>
      </c>
      <c r="G16">
        <v>3.1504210000000001</v>
      </c>
      <c r="H16">
        <v>17.7446849224531</v>
      </c>
      <c r="I16">
        <v>2.6440000000000001</v>
      </c>
      <c r="J16">
        <v>0.20901795356651709</v>
      </c>
      <c r="K16">
        <v>0.30000000000000004</v>
      </c>
      <c r="L16">
        <f t="shared" si="12"/>
        <v>0.30000000000000004</v>
      </c>
      <c r="M16">
        <f t="shared" si="13"/>
        <v>6.6942000000000021E-4</v>
      </c>
      <c r="N16">
        <v>0</v>
      </c>
      <c r="O16">
        <v>719.30600327812965</v>
      </c>
      <c r="P16">
        <f t="shared" si="14"/>
        <v>17.756571526564414</v>
      </c>
      <c r="Q16">
        <f t="shared" si="18"/>
        <v>0.54557919503249874</v>
      </c>
      <c r="R16">
        <f t="shared" si="15"/>
        <v>11.566125936865351</v>
      </c>
      <c r="S16">
        <f t="shared" si="19"/>
        <v>1.535222046127642</v>
      </c>
      <c r="T16">
        <v>0</v>
      </c>
      <c r="U16">
        <f t="shared" si="20"/>
        <v>2.6440000000000001</v>
      </c>
      <c r="V16">
        <f t="shared" si="21"/>
        <v>0.54557919503249874</v>
      </c>
    </row>
    <row r="17" spans="1:22" x14ac:dyDescent="0.3">
      <c r="A17">
        <v>1963</v>
      </c>
      <c r="B17">
        <v>89.226476309382704</v>
      </c>
      <c r="C17">
        <f t="shared" si="11"/>
        <v>3.6999999999999998E-2</v>
      </c>
      <c r="D17">
        <f t="shared" si="16"/>
        <v>6.8668256393275584</v>
      </c>
      <c r="E17">
        <f t="shared" si="17"/>
        <v>0.36894511117532341</v>
      </c>
      <c r="F17">
        <v>3211001</v>
      </c>
      <c r="G17">
        <v>3.211001</v>
      </c>
      <c r="H17">
        <v>18.6120521219332</v>
      </c>
      <c r="I17">
        <v>2.794</v>
      </c>
      <c r="J17">
        <v>0.21392406699756705</v>
      </c>
      <c r="K17">
        <v>0.32</v>
      </c>
      <c r="L17">
        <f t="shared" si="12"/>
        <v>0.32</v>
      </c>
      <c r="M17">
        <f t="shared" si="13"/>
        <v>7.6165120000000008E-4</v>
      </c>
      <c r="N17">
        <v>0</v>
      </c>
      <c r="O17">
        <v>715.67296128901262</v>
      </c>
      <c r="P17">
        <f t="shared" si="14"/>
        <v>18.626238819081241</v>
      </c>
      <c r="Q17">
        <f t="shared" si="18"/>
        <v>0.54961262439697212</v>
      </c>
      <c r="R17">
        <f t="shared" si="15"/>
        <v>11.864974818024349</v>
      </c>
      <c r="S17">
        <f t="shared" si="19"/>
        <v>1.5698506827663641</v>
      </c>
      <c r="T17">
        <v>0</v>
      </c>
      <c r="U17">
        <f t="shared" si="20"/>
        <v>2.794</v>
      </c>
      <c r="V17">
        <f t="shared" si="21"/>
        <v>0.54961262439697212</v>
      </c>
    </row>
    <row r="18" spans="1:22" x14ac:dyDescent="0.3">
      <c r="A18">
        <v>1964</v>
      </c>
      <c r="B18">
        <v>92.791922325263101</v>
      </c>
      <c r="C18">
        <f t="shared" si="11"/>
        <v>3.6999999999999998E-2</v>
      </c>
      <c r="D18">
        <f t="shared" si="16"/>
        <v>7.1964041990486294</v>
      </c>
      <c r="E18">
        <f t="shared" si="17"/>
        <v>0.36531560274041214</v>
      </c>
      <c r="F18">
        <v>3273978</v>
      </c>
      <c r="G18">
        <v>3.2739780000000001</v>
      </c>
      <c r="H18">
        <v>19.699142727725999</v>
      </c>
      <c r="I18">
        <v>2.9390000000000001</v>
      </c>
      <c r="J18">
        <v>0.21946979682425205</v>
      </c>
      <c r="K18">
        <v>0.06</v>
      </c>
      <c r="L18">
        <f t="shared" si="12"/>
        <v>0.06</v>
      </c>
      <c r="M18">
        <f t="shared" si="13"/>
        <v>2.6776800000000001E-5</v>
      </c>
      <c r="N18">
        <v>0</v>
      </c>
      <c r="O18">
        <v>712.05826892305254</v>
      </c>
      <c r="P18">
        <f t="shared" si="14"/>
        <v>19.699670221855595</v>
      </c>
      <c r="Q18">
        <f t="shared" si="18"/>
        <v>0.54663331308221619</v>
      </c>
      <c r="R18">
        <f t="shared" si="15"/>
        <v>12.192019698805225</v>
      </c>
      <c r="S18">
        <f t="shared" si="19"/>
        <v>1.6157839889141659</v>
      </c>
      <c r="T18">
        <v>0</v>
      </c>
      <c r="U18">
        <f t="shared" si="20"/>
        <v>2.9390000000000001</v>
      </c>
      <c r="V18">
        <f t="shared" si="21"/>
        <v>0.54663331308221619</v>
      </c>
    </row>
    <row r="19" spans="1:22" x14ac:dyDescent="0.3">
      <c r="A19">
        <v>1965</v>
      </c>
      <c r="B19">
        <v>96.555025398276996</v>
      </c>
      <c r="C19">
        <f t="shared" si="11"/>
        <v>3.6999999999999998E-2</v>
      </c>
      <c r="D19">
        <f t="shared" si="16"/>
        <v>7.5171919568762604</v>
      </c>
      <c r="E19">
        <f t="shared" si="17"/>
        <v>0.36386000101866106</v>
      </c>
      <c r="F19">
        <v>3339584</v>
      </c>
      <c r="G19">
        <v>3.3395839999999999</v>
      </c>
      <c r="H19">
        <v>20.659572186640901</v>
      </c>
      <c r="I19">
        <v>3.0760000000000001</v>
      </c>
      <c r="J19">
        <v>0.22580623153550106</v>
      </c>
      <c r="K19">
        <v>0.14333333333333334</v>
      </c>
      <c r="L19">
        <f t="shared" si="12"/>
        <v>0.14333333333333334</v>
      </c>
      <c r="M19">
        <f t="shared" si="13"/>
        <v>1.5280957777777778E-4</v>
      </c>
      <c r="N19">
        <v>0</v>
      </c>
      <c r="O19">
        <v>708.46183350070669</v>
      </c>
      <c r="P19">
        <f t="shared" si="14"/>
        <v>20.662729649634397</v>
      </c>
      <c r="Q19">
        <f t="shared" si="18"/>
        <v>0.54544894073080119</v>
      </c>
      <c r="R19">
        <f t="shared" si="15"/>
        <v>12.534070189441067</v>
      </c>
      <c r="S19">
        <f t="shared" si="19"/>
        <v>1.6485251269010017</v>
      </c>
      <c r="T19">
        <v>0</v>
      </c>
      <c r="U19">
        <f t="shared" si="20"/>
        <v>3.0760000000000001</v>
      </c>
      <c r="V19">
        <f t="shared" si="21"/>
        <v>0.54544894073080119</v>
      </c>
    </row>
    <row r="20" spans="1:22" x14ac:dyDescent="0.3">
      <c r="A20">
        <v>1966</v>
      </c>
      <c r="B20">
        <v>100.499681415417</v>
      </c>
      <c r="C20">
        <f t="shared" si="11"/>
        <v>3.6999999999999998E-2</v>
      </c>
      <c r="D20">
        <f t="shared" si="16"/>
        <v>7.6202962801464338</v>
      </c>
      <c r="E20">
        <f t="shared" si="17"/>
        <v>0.35256830976719644</v>
      </c>
      <c r="F20">
        <v>3407923</v>
      </c>
      <c r="G20">
        <v>3.4079229999999998</v>
      </c>
      <c r="H20">
        <v>21.6136733479483</v>
      </c>
      <c r="I20">
        <v>3.2189999999999999</v>
      </c>
      <c r="J20">
        <v>0.23300931765481908</v>
      </c>
      <c r="K20">
        <v>0.20333333333333334</v>
      </c>
      <c r="L20">
        <f t="shared" si="12"/>
        <v>0.20333333333333334</v>
      </c>
      <c r="M20">
        <f t="shared" si="13"/>
        <v>3.0751997777777782E-4</v>
      </c>
      <c r="N20">
        <v>0</v>
      </c>
      <c r="O20">
        <v>704.88356281053461</v>
      </c>
      <c r="P20">
        <f t="shared" si="14"/>
        <v>21.620322028898176</v>
      </c>
      <c r="Q20">
        <f t="shared" si="18"/>
        <v>0.5455245293865344</v>
      </c>
      <c r="R20">
        <f t="shared" si="15"/>
        <v>12.890432247535603</v>
      </c>
      <c r="S20">
        <f t="shared" si="19"/>
        <v>1.6772379400257549</v>
      </c>
      <c r="T20">
        <v>0</v>
      </c>
      <c r="U20">
        <f t="shared" si="20"/>
        <v>3.2189999999999999</v>
      </c>
      <c r="V20">
        <f t="shared" si="21"/>
        <v>0.5455245293865344</v>
      </c>
    </row>
    <row r="21" spans="1:22" x14ac:dyDescent="0.3">
      <c r="A21">
        <v>1967</v>
      </c>
      <c r="B21">
        <v>104.401489483193</v>
      </c>
      <c r="C21">
        <f t="shared" si="11"/>
        <v>3.6999999999999998E-2</v>
      </c>
      <c r="D21">
        <f t="shared" si="16"/>
        <v>8.0873765219981379</v>
      </c>
      <c r="E21">
        <f t="shared" si="17"/>
        <v>0.36108513958599381</v>
      </c>
      <c r="F21">
        <v>3478770</v>
      </c>
      <c r="G21">
        <v>3.4787699999999999</v>
      </c>
      <c r="H21">
        <v>22.397422755394501</v>
      </c>
      <c r="I21">
        <v>3.3220000000000001</v>
      </c>
      <c r="J21">
        <v>0.24092096073839209</v>
      </c>
      <c r="K21">
        <v>0.21666666666666667</v>
      </c>
      <c r="L21">
        <f t="shared" si="12"/>
        <v>0.21666666666666667</v>
      </c>
      <c r="M21">
        <f t="shared" si="13"/>
        <v>3.4917277777777781E-4</v>
      </c>
      <c r="N21">
        <v>0</v>
      </c>
      <c r="O21">
        <v>701.32336510683365</v>
      </c>
      <c r="P21">
        <f t="shared" si="14"/>
        <v>22.405246057397157</v>
      </c>
      <c r="Q21">
        <f t="shared" si="18"/>
        <v>0.54325705546007352</v>
      </c>
      <c r="R21">
        <f t="shared" si="15"/>
        <v>13.24932090732033</v>
      </c>
      <c r="S21">
        <f t="shared" si="19"/>
        <v>1.6910486366903623</v>
      </c>
      <c r="T21">
        <v>0</v>
      </c>
      <c r="U21">
        <f t="shared" si="20"/>
        <v>3.3220000000000001</v>
      </c>
      <c r="V21">
        <f t="shared" si="21"/>
        <v>0.54325705546007352</v>
      </c>
    </row>
    <row r="22" spans="1:22" x14ac:dyDescent="0.3">
      <c r="A22">
        <v>1968</v>
      </c>
      <c r="B22">
        <v>108.626010894313</v>
      </c>
      <c r="C22">
        <f t="shared" si="11"/>
        <v>3.6999999999999998E-2</v>
      </c>
      <c r="D22">
        <f t="shared" si="16"/>
        <v>8.6501723046055901</v>
      </c>
      <c r="E22">
        <f t="shared" si="17"/>
        <v>0.36720854157933774</v>
      </c>
      <c r="F22">
        <v>3551599</v>
      </c>
      <c r="G22">
        <v>3.551599</v>
      </c>
      <c r="H22">
        <v>23.556566161020701</v>
      </c>
      <c r="I22">
        <v>3.5030000000000001</v>
      </c>
      <c r="J22">
        <v>0.24945799577720107</v>
      </c>
      <c r="K22">
        <v>0.17333333333333334</v>
      </c>
      <c r="L22">
        <f t="shared" si="12"/>
        <v>0.17333333333333334</v>
      </c>
      <c r="M22">
        <f t="shared" si="13"/>
        <v>2.234705777777778E-4</v>
      </c>
      <c r="N22">
        <v>0</v>
      </c>
      <c r="O22">
        <v>697.78114910728664</v>
      </c>
      <c r="P22">
        <f t="shared" si="14"/>
        <v>23.561831537127805</v>
      </c>
      <c r="Q22">
        <f t="shared" si="18"/>
        <v>0.54473659994449608</v>
      </c>
      <c r="R22">
        <f t="shared" si="15"/>
        <v>13.627835761300636</v>
      </c>
      <c r="S22">
        <f t="shared" si="19"/>
        <v>1.7289488917996083</v>
      </c>
      <c r="T22">
        <v>0</v>
      </c>
      <c r="U22">
        <f t="shared" si="20"/>
        <v>3.5030000000000001</v>
      </c>
      <c r="V22">
        <f t="shared" si="21"/>
        <v>0.54473659994449608</v>
      </c>
    </row>
    <row r="23" spans="1:22" x14ac:dyDescent="0.3">
      <c r="A23">
        <v>1969</v>
      </c>
      <c r="B23">
        <v>113.25702079582901</v>
      </c>
      <c r="C23">
        <f t="shared" si="11"/>
        <v>3.6999999999999998E-2</v>
      </c>
      <c r="D23">
        <f t="shared" si="16"/>
        <v>9.2635440706606715</v>
      </c>
      <c r="E23">
        <f t="shared" si="17"/>
        <v>0.37263600572608641</v>
      </c>
      <c r="F23">
        <v>3625681</v>
      </c>
      <c r="G23">
        <v>3.6256810000000002</v>
      </c>
      <c r="H23">
        <v>24.8594980847611</v>
      </c>
      <c r="I23">
        <v>3.7370000000000001</v>
      </c>
      <c r="J23">
        <v>0.25898328487018207</v>
      </c>
      <c r="K23">
        <v>0.3133333333333333</v>
      </c>
      <c r="L23">
        <f t="shared" si="12"/>
        <v>0.3133333333333333</v>
      </c>
      <c r="M23">
        <f t="shared" si="13"/>
        <v>7.3024631111111098E-4</v>
      </c>
      <c r="N23">
        <v>0</v>
      </c>
      <c r="O23">
        <v>694.25682399062146</v>
      </c>
      <c r="P23">
        <f t="shared" si="14"/>
        <v>24.877664907789072</v>
      </c>
      <c r="Q23">
        <f t="shared" si="18"/>
        <v>0.55038799062338795</v>
      </c>
      <c r="R23">
        <f t="shared" si="15"/>
        <v>14.028003670147447</v>
      </c>
      <c r="S23">
        <f t="shared" si="19"/>
        <v>1.7734287424468278</v>
      </c>
      <c r="T23">
        <v>0</v>
      </c>
      <c r="U23">
        <f t="shared" si="20"/>
        <v>3.7370000000000001</v>
      </c>
      <c r="V23">
        <f t="shared" si="21"/>
        <v>0.55038799062338795</v>
      </c>
    </row>
    <row r="24" spans="1:22" x14ac:dyDescent="0.3">
      <c r="A24">
        <v>1970</v>
      </c>
      <c r="B24">
        <v>118.330055097044</v>
      </c>
      <c r="C24">
        <f t="shared" si="11"/>
        <v>3.6999999999999998E-2</v>
      </c>
      <c r="D24">
        <f t="shared" si="16"/>
        <v>9.5942981417866378</v>
      </c>
      <c r="E24">
        <f t="shared" si="17"/>
        <v>0.37265414043536316</v>
      </c>
      <c r="F24">
        <v>3700437</v>
      </c>
      <c r="G24">
        <v>3.700437</v>
      </c>
      <c r="H24">
        <v>25.7458514497594</v>
      </c>
      <c r="I24">
        <v>4.0469999999999997</v>
      </c>
      <c r="J24">
        <v>0.27030705835588709</v>
      </c>
      <c r="K24">
        <v>0.26666666666666666</v>
      </c>
      <c r="L24">
        <f t="shared" si="12"/>
        <v>0.26666666666666666</v>
      </c>
      <c r="M24">
        <f t="shared" si="13"/>
        <v>5.2892444444444442E-4</v>
      </c>
      <c r="N24">
        <v>0</v>
      </c>
      <c r="O24">
        <v>690.75029939428259</v>
      </c>
      <c r="P24">
        <f t="shared" si="14"/>
        <v>25.759476266432802</v>
      </c>
      <c r="Q24">
        <f t="shared" si="18"/>
        <v>0.57564089605822666</v>
      </c>
      <c r="R24">
        <f t="shared" si="15"/>
        <v>14.449608658264546</v>
      </c>
      <c r="S24">
        <f t="shared" si="19"/>
        <v>1.7827109976227282</v>
      </c>
      <c r="T24">
        <v>0</v>
      </c>
      <c r="U24">
        <f t="shared" si="20"/>
        <v>4.0469999999999997</v>
      </c>
      <c r="V24">
        <f t="shared" si="21"/>
        <v>0.57564089605822666</v>
      </c>
    </row>
    <row r="25" spans="1:22" x14ac:dyDescent="0.3">
      <c r="A25">
        <v>1971</v>
      </c>
      <c r="B25">
        <v>123.54614120024</v>
      </c>
      <c r="C25">
        <f t="shared" si="11"/>
        <v>3.6999999999999998E-2</v>
      </c>
      <c r="D25">
        <f t="shared" si="16"/>
        <v>10.092095550967869</v>
      </c>
      <c r="E25">
        <f t="shared" si="17"/>
        <v>0.37493438166694137</v>
      </c>
      <c r="F25">
        <v>3775760</v>
      </c>
      <c r="G25">
        <v>3.77576</v>
      </c>
      <c r="H25">
        <v>26.9169647928762</v>
      </c>
      <c r="I25">
        <v>4.21</v>
      </c>
      <c r="J25">
        <v>0.28395692299753406</v>
      </c>
      <c r="K25">
        <v>0.13666666666666669</v>
      </c>
      <c r="L25">
        <f t="shared" si="12"/>
        <v>0.13666666666666669</v>
      </c>
      <c r="M25">
        <f t="shared" si="13"/>
        <v>1.3892531111111116E-4</v>
      </c>
      <c r="N25">
        <v>0</v>
      </c>
      <c r="O25">
        <v>687.26148541211387</v>
      </c>
      <c r="P25">
        <f t="shared" si="14"/>
        <v>26.920704760160337</v>
      </c>
      <c r="Q25">
        <f t="shared" si="18"/>
        <v>0.57299540028491169</v>
      </c>
      <c r="R25">
        <f t="shared" si="15"/>
        <v>14.87756995375517</v>
      </c>
      <c r="S25">
        <f t="shared" si="19"/>
        <v>1.8094826536752677</v>
      </c>
      <c r="T25">
        <v>0</v>
      </c>
      <c r="U25">
        <f t="shared" si="20"/>
        <v>4.21</v>
      </c>
      <c r="V25">
        <f t="shared" si="21"/>
        <v>0.57299540028491169</v>
      </c>
    </row>
    <row r="26" spans="1:22" x14ac:dyDescent="0.3">
      <c r="A26">
        <v>1972</v>
      </c>
      <c r="B26">
        <v>129.06702952679899</v>
      </c>
      <c r="C26">
        <f t="shared" si="11"/>
        <v>3.6999999999999998E-2</v>
      </c>
      <c r="D26">
        <f t="shared" si="16"/>
        <v>10.723194404733562</v>
      </c>
      <c r="E26">
        <f t="shared" si="17"/>
        <v>0.37892603562553473</v>
      </c>
      <c r="F26">
        <v>3851651</v>
      </c>
      <c r="G26">
        <v>3.8516509999999999</v>
      </c>
      <c r="H26">
        <v>28.298911651799301</v>
      </c>
      <c r="I26">
        <v>4.4059999999999997</v>
      </c>
      <c r="J26">
        <v>0.29904909004258506</v>
      </c>
      <c r="K26">
        <v>0.24333333333333332</v>
      </c>
      <c r="L26">
        <f t="shared" si="12"/>
        <v>0.24333333333333332</v>
      </c>
      <c r="M26">
        <f t="shared" si="13"/>
        <v>4.4041224444444439E-4</v>
      </c>
      <c r="N26">
        <v>0</v>
      </c>
      <c r="O26">
        <v>683.79029259205379</v>
      </c>
      <c r="P26">
        <f t="shared" si="14"/>
        <v>28.311380330353913</v>
      </c>
      <c r="Q26">
        <f t="shared" si="18"/>
        <v>0.57021536257247529</v>
      </c>
      <c r="R26">
        <f t="shared" si="15"/>
        <v>15.319371631356301</v>
      </c>
      <c r="S26">
        <f t="shared" si="19"/>
        <v>1.8480771282031601</v>
      </c>
      <c r="T26">
        <v>0</v>
      </c>
      <c r="U26">
        <f t="shared" si="20"/>
        <v>4.4059999999999997</v>
      </c>
      <c r="V26">
        <f t="shared" si="21"/>
        <v>0.57021536257247529</v>
      </c>
    </row>
    <row r="27" spans="1:22" x14ac:dyDescent="0.3">
      <c r="A27">
        <v>1973</v>
      </c>
      <c r="B27">
        <v>135.01474383904099</v>
      </c>
      <c r="C27">
        <f t="shared" si="11"/>
        <v>3.6999999999999998E-2</v>
      </c>
      <c r="D27">
        <f t="shared" si="16"/>
        <v>10.628154856102526</v>
      </c>
      <c r="E27">
        <f t="shared" si="17"/>
        <v>0.35391254459383387</v>
      </c>
      <c r="F27">
        <v>3927781</v>
      </c>
      <c r="G27">
        <v>3.927781</v>
      </c>
      <c r="H27">
        <v>30.0304553157331</v>
      </c>
      <c r="I27">
        <v>4.6399999999999997</v>
      </c>
      <c r="J27">
        <v>0.31429247822931705</v>
      </c>
      <c r="K27">
        <v>0.38666666666666671</v>
      </c>
      <c r="L27">
        <f t="shared" si="12"/>
        <v>0.38666666666666671</v>
      </c>
      <c r="M27">
        <f t="shared" si="13"/>
        <v>1.1120636444444448E-3</v>
      </c>
      <c r="N27">
        <v>0</v>
      </c>
      <c r="O27">
        <v>680.33663193384155</v>
      </c>
      <c r="P27">
        <f t="shared" si="14"/>
        <v>30.063888272892026</v>
      </c>
      <c r="Q27">
        <f t="shared" si="18"/>
        <v>0.56549438468108615</v>
      </c>
      <c r="R27">
        <f t="shared" si="15"/>
        <v>15.779437562444452</v>
      </c>
      <c r="S27">
        <f t="shared" si="19"/>
        <v>1.9052572789061257</v>
      </c>
      <c r="T27">
        <v>0</v>
      </c>
      <c r="U27">
        <f t="shared" si="20"/>
        <v>4.6399999999999997</v>
      </c>
      <c r="V27">
        <f t="shared" si="21"/>
        <v>0.56549438468108615</v>
      </c>
    </row>
    <row r="28" spans="1:22" x14ac:dyDescent="0.3">
      <c r="A28">
        <v>1974</v>
      </c>
      <c r="B28">
        <v>140.64735317309899</v>
      </c>
      <c r="C28">
        <f t="shared" si="11"/>
        <v>3.6999999999999998E-2</v>
      </c>
      <c r="D28">
        <f t="shared" si="16"/>
        <v>10.670187847670661</v>
      </c>
      <c r="E28">
        <f t="shared" si="17"/>
        <v>0.34607415801173252</v>
      </c>
      <c r="F28">
        <v>4003794</v>
      </c>
      <c r="G28">
        <v>4.0037940000000001</v>
      </c>
      <c r="H28">
        <v>30.8320849755818</v>
      </c>
      <c r="I28">
        <v>4.62</v>
      </c>
      <c r="J28">
        <v>0.32939499569626307</v>
      </c>
      <c r="K28">
        <v>0.13333333333333333</v>
      </c>
      <c r="L28">
        <f t="shared" si="12"/>
        <v>0.13333333333333333</v>
      </c>
      <c r="M28">
        <f t="shared" si="13"/>
        <v>1.322311111111111E-4</v>
      </c>
      <c r="N28">
        <v>0</v>
      </c>
      <c r="O28">
        <v>676.90041488673535</v>
      </c>
      <c r="P28">
        <f t="shared" si="14"/>
        <v>30.836162475608354</v>
      </c>
      <c r="Q28">
        <f t="shared" si="18"/>
        <v>0.54895546789876759</v>
      </c>
      <c r="R28">
        <f t="shared" si="15"/>
        <v>16.222643108392564</v>
      </c>
      <c r="S28">
        <f t="shared" si="19"/>
        <v>1.9008100141003339</v>
      </c>
      <c r="T28">
        <v>0</v>
      </c>
      <c r="U28">
        <f t="shared" si="20"/>
        <v>4.62</v>
      </c>
      <c r="V28">
        <f t="shared" si="21"/>
        <v>0.54895546789876759</v>
      </c>
    </row>
    <row r="29" spans="1:22" x14ac:dyDescent="0.3">
      <c r="A29">
        <v>1975</v>
      </c>
      <c r="B29">
        <v>146.113588953365</v>
      </c>
      <c r="C29">
        <f t="shared" si="11"/>
        <v>3.6999999999999998E-2</v>
      </c>
      <c r="D29">
        <f t="shared" si="16"/>
        <v>11.23523481345353</v>
      </c>
      <c r="E29">
        <f t="shared" si="17"/>
        <v>0.35971816104321924</v>
      </c>
      <c r="F29">
        <v>4079480</v>
      </c>
      <c r="G29">
        <v>4.0794800000000002</v>
      </c>
      <c r="H29">
        <v>31.233437813843501</v>
      </c>
      <c r="I29">
        <v>4.6130000000000004</v>
      </c>
      <c r="J29">
        <v>0.34441821314475207</v>
      </c>
      <c r="K29">
        <v>0.20000000000000004</v>
      </c>
      <c r="L29">
        <f t="shared" si="12"/>
        <v>0.20000000000000004</v>
      </c>
      <c r="M29">
        <f t="shared" si="13"/>
        <v>2.9752000000000012E-4</v>
      </c>
      <c r="N29">
        <v>0</v>
      </c>
      <c r="O29">
        <v>673.48155334724197</v>
      </c>
      <c r="P29">
        <f t="shared" si="14"/>
        <v>31.242733151810828</v>
      </c>
      <c r="Q29">
        <f t="shared" si="18"/>
        <v>0.5409908255424305</v>
      </c>
      <c r="R29">
        <f t="shared" si="15"/>
        <v>16.65586611307014</v>
      </c>
      <c r="S29">
        <f t="shared" si="19"/>
        <v>1.8757795565668078</v>
      </c>
      <c r="T29">
        <v>0</v>
      </c>
      <c r="U29">
        <f t="shared" si="20"/>
        <v>4.6130000000000004</v>
      </c>
      <c r="V29">
        <f t="shared" si="21"/>
        <v>0.5409908255424305</v>
      </c>
    </row>
    <row r="30" spans="1:22" x14ac:dyDescent="0.3">
      <c r="A30">
        <v>1976</v>
      </c>
      <c r="B30">
        <v>151.942620975544</v>
      </c>
      <c r="C30">
        <f t="shared" si="11"/>
        <v>3.6999999999999998E-2</v>
      </c>
      <c r="D30">
        <f t="shared" si="16"/>
        <v>11.666789388088148</v>
      </c>
      <c r="E30">
        <f t="shared" si="17"/>
        <v>0.35574389885321456</v>
      </c>
      <c r="F30">
        <v>4154667</v>
      </c>
      <c r="G30">
        <v>4.1546669999999999</v>
      </c>
      <c r="H30">
        <v>32.795472882873099</v>
      </c>
      <c r="I30">
        <v>4.8579999999999997</v>
      </c>
      <c r="J30">
        <v>0.35907442263569006</v>
      </c>
      <c r="K30">
        <v>0.11</v>
      </c>
      <c r="L30">
        <f t="shared" si="12"/>
        <v>0.11</v>
      </c>
      <c r="M30">
        <f t="shared" si="13"/>
        <v>8.9999800000000005E-5</v>
      </c>
      <c r="N30">
        <v>0</v>
      </c>
      <c r="O30">
        <v>670.0799596568578</v>
      </c>
      <c r="P30">
        <f t="shared" si="14"/>
        <v>32.798424734539523</v>
      </c>
      <c r="Q30">
        <f t="shared" si="18"/>
        <v>0.54270021027123883</v>
      </c>
      <c r="R30">
        <f t="shared" si="15"/>
        <v>17.10249499636938</v>
      </c>
      <c r="S30">
        <f t="shared" si="19"/>
        <v>1.9177567215486495</v>
      </c>
      <c r="T30">
        <v>0</v>
      </c>
      <c r="U30">
        <f t="shared" si="20"/>
        <v>4.8579999999999997</v>
      </c>
      <c r="V30">
        <f t="shared" si="21"/>
        <v>0.54270021027123883</v>
      </c>
    </row>
    <row r="31" spans="1:22" x14ac:dyDescent="0.3">
      <c r="A31">
        <v>1977</v>
      </c>
      <c r="B31">
        <v>157.98753338753701</v>
      </c>
      <c r="C31">
        <f t="shared" si="11"/>
        <v>3.6999999999999998E-2</v>
      </c>
      <c r="D31">
        <f t="shared" si="16"/>
        <v>12.159210703761858</v>
      </c>
      <c r="E31">
        <f t="shared" si="17"/>
        <v>0.3563936931077582</v>
      </c>
      <c r="F31">
        <v>4229506</v>
      </c>
      <c r="G31">
        <v>4.2295059999999998</v>
      </c>
      <c r="H31">
        <v>34.117356560755503</v>
      </c>
      <c r="I31">
        <v>4.9909999999999997</v>
      </c>
      <c r="J31">
        <v>0.37335356416290605</v>
      </c>
      <c r="K31">
        <v>0.39333333333333337</v>
      </c>
      <c r="L31">
        <f t="shared" si="12"/>
        <v>0.39333333333333337</v>
      </c>
      <c r="M31">
        <f t="shared" si="13"/>
        <v>1.1507412444444446E-3</v>
      </c>
      <c r="N31">
        <v>0</v>
      </c>
      <c r="O31">
        <v>666.69554659982134</v>
      </c>
      <c r="P31">
        <f t="shared" si="14"/>
        <v>34.156662040538102</v>
      </c>
      <c r="Q31">
        <f t="shared" si="18"/>
        <v>0.53538674178104517</v>
      </c>
      <c r="R31">
        <f t="shared" si="15"/>
        <v>17.556005279932656</v>
      </c>
      <c r="S31">
        <f t="shared" si="19"/>
        <v>1.9455828074727672</v>
      </c>
      <c r="T31">
        <v>0</v>
      </c>
      <c r="U31">
        <f t="shared" si="20"/>
        <v>4.9909999999999997</v>
      </c>
      <c r="V31">
        <f t="shared" si="21"/>
        <v>0.53538674178104517</v>
      </c>
    </row>
    <row r="32" spans="1:22" x14ac:dyDescent="0.3">
      <c r="A32">
        <v>1978</v>
      </c>
      <c r="B32">
        <v>164.30120535596001</v>
      </c>
      <c r="C32">
        <f t="shared" si="11"/>
        <v>3.6999999999999998E-2</v>
      </c>
      <c r="D32">
        <f t="shared" si="16"/>
        <v>12.405290088564527</v>
      </c>
      <c r="E32">
        <f t="shared" si="17"/>
        <v>0.34958702208100312</v>
      </c>
      <c r="F32">
        <v>4304534</v>
      </c>
      <c r="G32">
        <v>4.3045340000000003</v>
      </c>
      <c r="H32">
        <v>35.485556685482699</v>
      </c>
      <c r="I32">
        <v>5.1740000000000004</v>
      </c>
      <c r="J32">
        <v>0.38803470943695506</v>
      </c>
      <c r="K32">
        <v>0.28999999999999998</v>
      </c>
      <c r="L32">
        <f t="shared" si="12"/>
        <v>0.28999999999999998</v>
      </c>
      <c r="M32">
        <f t="shared" si="13"/>
        <v>6.2553579999999993E-4</v>
      </c>
      <c r="N32">
        <v>0</v>
      </c>
      <c r="O32">
        <v>663.32822740087681</v>
      </c>
      <c r="P32">
        <f t="shared" si="14"/>
        <v>35.507768065585822</v>
      </c>
      <c r="Q32">
        <f t="shared" si="18"/>
        <v>0.53389827163971115</v>
      </c>
      <c r="R32">
        <f t="shared" si="15"/>
        <v>18.019815959411037</v>
      </c>
      <c r="S32">
        <f t="shared" si="19"/>
        <v>1.970484501371476</v>
      </c>
      <c r="T32">
        <v>0</v>
      </c>
      <c r="U32">
        <f t="shared" si="20"/>
        <v>5.1740000000000004</v>
      </c>
      <c r="V32">
        <f t="shared" si="21"/>
        <v>0.53389827163971115</v>
      </c>
    </row>
    <row r="33" spans="1:22" x14ac:dyDescent="0.3">
      <c r="A33">
        <v>1979</v>
      </c>
      <c r="B33">
        <v>170.62735084635401</v>
      </c>
      <c r="C33">
        <f t="shared" si="11"/>
        <v>3.6999999999999998E-2</v>
      </c>
      <c r="D33">
        <f t="shared" si="16"/>
        <v>12.574402192116111</v>
      </c>
      <c r="E33">
        <f t="shared" si="17"/>
        <v>0.34062385246895577</v>
      </c>
      <c r="F33">
        <v>4380506</v>
      </c>
      <c r="G33">
        <v>4.3805059999999996</v>
      </c>
      <c r="H33">
        <v>36.9158005259251</v>
      </c>
      <c r="I33">
        <v>5.3120000000000003</v>
      </c>
      <c r="J33">
        <v>0.40376070099862205</v>
      </c>
      <c r="K33">
        <v>0.39666666666666667</v>
      </c>
      <c r="L33">
        <f t="shared" si="12"/>
        <v>0.39666666666666667</v>
      </c>
      <c r="M33">
        <f t="shared" si="13"/>
        <v>1.1703279777777779E-3</v>
      </c>
      <c r="N33">
        <v>0</v>
      </c>
      <c r="O33">
        <v>659.97791572304948</v>
      </c>
      <c r="P33">
        <f t="shared" si="14"/>
        <v>36.959054741721559</v>
      </c>
      <c r="Q33">
        <f t="shared" si="18"/>
        <v>0.52661433405191593</v>
      </c>
      <c r="R33">
        <f t="shared" si="15"/>
        <v>18.484678273905402</v>
      </c>
      <c r="S33">
        <f t="shared" si="19"/>
        <v>1.999442684046939</v>
      </c>
      <c r="T33">
        <v>0</v>
      </c>
      <c r="U33">
        <f t="shared" si="20"/>
        <v>5.3120000000000003</v>
      </c>
      <c r="V33">
        <f t="shared" si="21"/>
        <v>0.52661433405191593</v>
      </c>
    </row>
    <row r="34" spans="1:22" x14ac:dyDescent="0.3">
      <c r="A34">
        <v>1980</v>
      </c>
      <c r="B34">
        <v>176.88854105715501</v>
      </c>
      <c r="C34">
        <f t="shared" si="11"/>
        <v>3.6999999999999998E-2</v>
      </c>
      <c r="D34">
        <f t="shared" si="16"/>
        <v>12.531789548941731</v>
      </c>
      <c r="E34">
        <f t="shared" si="17"/>
        <v>0.33207424099401828</v>
      </c>
      <c r="F34">
        <v>4458003</v>
      </c>
      <c r="G34">
        <v>4.4580029999999997</v>
      </c>
      <c r="H34">
        <v>37.737915206640402</v>
      </c>
      <c r="I34">
        <v>5.2859999999999996</v>
      </c>
      <c r="J34">
        <v>0.41997442491786102</v>
      </c>
      <c r="K34">
        <v>0.45999999999999996</v>
      </c>
      <c r="L34">
        <f t="shared" si="12"/>
        <v>0.45999999999999996</v>
      </c>
      <c r="M34">
        <f t="shared" si="13"/>
        <v>1.5738807999999998E-3</v>
      </c>
      <c r="N34">
        <v>0</v>
      </c>
      <c r="O34">
        <v>656.64452566543207</v>
      </c>
      <c r="P34">
        <f t="shared" si="14"/>
        <v>37.79740381479435</v>
      </c>
      <c r="Q34">
        <f t="shared" si="18"/>
        <v>0.51241360636571476</v>
      </c>
      <c r="R34">
        <f t="shared" si="15"/>
        <v>18.94902142457908</v>
      </c>
      <c r="S34">
        <f t="shared" si="19"/>
        <v>1.9946889587536554</v>
      </c>
      <c r="T34">
        <v>0</v>
      </c>
      <c r="U34">
        <f t="shared" si="20"/>
        <v>5.2859999999999996</v>
      </c>
      <c r="V34">
        <f t="shared" si="21"/>
        <v>0.51241360636571476</v>
      </c>
    </row>
    <row r="35" spans="1:22" x14ac:dyDescent="0.3">
      <c r="A35">
        <v>1981</v>
      </c>
      <c r="B35">
        <v>182.87545458698199</v>
      </c>
      <c r="C35">
        <f t="shared" si="11"/>
        <v>3.6999999999999998E-2</v>
      </c>
      <c r="D35">
        <f t="shared" si="16"/>
        <v>12.170436041875348</v>
      </c>
      <c r="E35">
        <f t="shared" si="17"/>
        <v>0.31643924657132028</v>
      </c>
      <c r="F35">
        <v>4536997</v>
      </c>
      <c r="G35">
        <v>4.5369970000000004</v>
      </c>
      <c r="H35">
        <v>38.460577105224303</v>
      </c>
      <c r="I35">
        <v>5.1420000000000003</v>
      </c>
      <c r="J35">
        <v>0.43570374917008109</v>
      </c>
      <c r="K35">
        <v>0.51</v>
      </c>
      <c r="L35">
        <f t="shared" si="12"/>
        <v>0.51</v>
      </c>
      <c r="M35">
        <f t="shared" si="13"/>
        <v>1.9346238E-3</v>
      </c>
      <c r="N35">
        <v>0</v>
      </c>
      <c r="O35">
        <v>653.32797176098211</v>
      </c>
      <c r="P35">
        <f t="shared" si="14"/>
        <v>38.535128081146134</v>
      </c>
      <c r="Q35">
        <f t="shared" si="18"/>
        <v>0.48891203787688675</v>
      </c>
      <c r="R35">
        <f t="shared" si="15"/>
        <v>19.404348714667488</v>
      </c>
      <c r="S35">
        <f t="shared" si="19"/>
        <v>1.985901647501209</v>
      </c>
      <c r="T35">
        <v>0</v>
      </c>
      <c r="U35">
        <f t="shared" si="20"/>
        <v>5.1420000000000003</v>
      </c>
      <c r="V35">
        <f t="shared" si="21"/>
        <v>0.48891203787688675</v>
      </c>
    </row>
    <row r="36" spans="1:22" x14ac:dyDescent="0.3">
      <c r="A36">
        <v>1982</v>
      </c>
      <c r="B36">
        <v>188.279498809139</v>
      </c>
      <c r="C36">
        <f t="shared" si="11"/>
        <v>3.6999999999999998E-2</v>
      </c>
      <c r="D36">
        <f t="shared" si="16"/>
        <v>12.166524578445149</v>
      </c>
      <c r="E36">
        <f t="shared" si="17"/>
        <v>0.31404645774439183</v>
      </c>
      <c r="F36">
        <v>4617387</v>
      </c>
      <c r="G36">
        <v>4.6173869999999999</v>
      </c>
      <c r="H36">
        <v>38.741161628855899</v>
      </c>
      <c r="I36">
        <v>5.1040000000000001</v>
      </c>
      <c r="J36">
        <v>0.45048021867990012</v>
      </c>
      <c r="K36">
        <v>0.36333333333333334</v>
      </c>
      <c r="L36">
        <f t="shared" si="12"/>
        <v>0.36333333333333334</v>
      </c>
      <c r="M36">
        <f t="shared" si="13"/>
        <v>9.8189864444444435E-4</v>
      </c>
      <c r="N36">
        <v>0</v>
      </c>
      <c r="O36">
        <v>650.02816897433058</v>
      </c>
      <c r="P36">
        <f t="shared" si="14"/>
        <v>38.779238910975174</v>
      </c>
      <c r="Q36">
        <f t="shared" si="18"/>
        <v>0.48224401832464248</v>
      </c>
      <c r="R36">
        <f t="shared" si="15"/>
        <v>19.8381109913574</v>
      </c>
      <c r="S36">
        <f t="shared" si="19"/>
        <v>1.9547848546602848</v>
      </c>
      <c r="T36">
        <v>0</v>
      </c>
      <c r="U36">
        <f t="shared" si="20"/>
        <v>5.1040000000000001</v>
      </c>
      <c r="V36">
        <f t="shared" si="21"/>
        <v>0.48224401832464248</v>
      </c>
    </row>
    <row r="37" spans="1:22" x14ac:dyDescent="0.3">
      <c r="A37">
        <v>1983</v>
      </c>
      <c r="B37">
        <v>193.47968193164601</v>
      </c>
      <c r="C37">
        <f t="shared" si="11"/>
        <v>3.6999999999999998E-2</v>
      </c>
      <c r="D37">
        <f t="shared" si="16"/>
        <v>12.500706092231894</v>
      </c>
      <c r="E37">
        <f t="shared" si="17"/>
        <v>0.31403051016512717</v>
      </c>
      <c r="F37">
        <v>4699569</v>
      </c>
      <c r="G37">
        <v>4.6995690000000003</v>
      </c>
      <c r="H37">
        <v>39.807297977698497</v>
      </c>
      <c r="I37">
        <v>5.1520000000000001</v>
      </c>
      <c r="J37">
        <v>0.46437927091169612</v>
      </c>
      <c r="K37">
        <v>0.53666666666666674</v>
      </c>
      <c r="L37">
        <f t="shared" si="12"/>
        <v>0.53666666666666674</v>
      </c>
      <c r="M37">
        <f t="shared" si="13"/>
        <v>2.142226644444445E-3</v>
      </c>
      <c r="N37">
        <v>0</v>
      </c>
      <c r="O37">
        <v>646.74503269960178</v>
      </c>
      <c r="P37">
        <f t="shared" si="14"/>
        <v>39.892757305318305</v>
      </c>
      <c r="Q37">
        <f t="shared" si="18"/>
        <v>0.47319185925219115</v>
      </c>
      <c r="R37">
        <f t="shared" si="15"/>
        <v>20.267569063103039</v>
      </c>
      <c r="S37">
        <f t="shared" si="19"/>
        <v>1.9683049891732096</v>
      </c>
      <c r="T37">
        <v>0</v>
      </c>
      <c r="U37">
        <f t="shared" si="20"/>
        <v>5.1520000000000001</v>
      </c>
      <c r="V37">
        <f t="shared" si="21"/>
        <v>0.47319185925219115</v>
      </c>
    </row>
    <row r="38" spans="1:22" x14ac:dyDescent="0.3">
      <c r="A38">
        <v>1984</v>
      </c>
      <c r="B38">
        <v>198.82163979240701</v>
      </c>
      <c r="C38">
        <f t="shared" si="11"/>
        <v>3.6999999999999998E-2</v>
      </c>
      <c r="D38">
        <f t="shared" si="16"/>
        <v>12.80187069660505</v>
      </c>
      <c r="E38">
        <f t="shared" si="17"/>
        <v>0.30778674942191209</v>
      </c>
      <c r="F38">
        <v>4784012</v>
      </c>
      <c r="G38">
        <v>4.7840119999999997</v>
      </c>
      <c r="H38">
        <v>41.593313294512001</v>
      </c>
      <c r="I38">
        <v>5.3019999999999996</v>
      </c>
      <c r="J38">
        <v>0.47813587452853507</v>
      </c>
      <c r="K38">
        <v>0.35333333333333333</v>
      </c>
      <c r="L38">
        <f t="shared" si="12"/>
        <v>0.35333333333333333</v>
      </c>
      <c r="M38">
        <f t="shared" si="13"/>
        <v>9.285929777777778E-4</v>
      </c>
      <c r="N38">
        <v>0</v>
      </c>
      <c r="O38">
        <v>643.47847875824391</v>
      </c>
      <c r="P38">
        <f t="shared" si="14"/>
        <v>41.631972451781763</v>
      </c>
      <c r="Q38">
        <f t="shared" si="18"/>
        <v>0.46662521268959434</v>
      </c>
      <c r="R38">
        <f t="shared" si="15"/>
        <v>20.708345410491255</v>
      </c>
      <c r="S38">
        <f t="shared" si="19"/>
        <v>2.0103958875772947</v>
      </c>
      <c r="T38">
        <v>0</v>
      </c>
      <c r="U38">
        <f t="shared" si="20"/>
        <v>5.3019999999999996</v>
      </c>
      <c r="V38">
        <f t="shared" si="21"/>
        <v>0.46662521268959434</v>
      </c>
    </row>
    <row r="39" spans="1:22" x14ac:dyDescent="0.3">
      <c r="A39">
        <v>1985</v>
      </c>
      <c r="B39">
        <v>204.26710981669299</v>
      </c>
      <c r="C39">
        <f t="shared" si="11"/>
        <v>3.6999999999999998E-2</v>
      </c>
      <c r="D39">
        <f t="shared" si="16"/>
        <v>13.213196156450664</v>
      </c>
      <c r="E39">
        <f t="shared" si="17"/>
        <v>0.30688017441170318</v>
      </c>
      <c r="F39">
        <v>4870922</v>
      </c>
      <c r="G39">
        <v>4.8709220000000002</v>
      </c>
      <c r="H39">
        <v>43.0565323477826</v>
      </c>
      <c r="I39">
        <v>5.49</v>
      </c>
      <c r="J39">
        <v>0.49249501155403203</v>
      </c>
      <c r="K39">
        <v>0.33333333333333331</v>
      </c>
      <c r="L39">
        <f t="shared" si="12"/>
        <v>0.33333333333333331</v>
      </c>
      <c r="M39">
        <f t="shared" si="13"/>
        <v>8.2644444444444443E-4</v>
      </c>
      <c r="N39">
        <v>0</v>
      </c>
      <c r="O39">
        <v>640.22842339687088</v>
      </c>
      <c r="P39">
        <f t="shared" si="14"/>
        <v>43.092145612122934</v>
      </c>
      <c r="Q39">
        <f t="shared" si="18"/>
        <v>0.46679875680966398</v>
      </c>
      <c r="R39">
        <f t="shared" si="15"/>
        <v>21.159420819569085</v>
      </c>
      <c r="S39">
        <f t="shared" si="19"/>
        <v>2.0365465567124401</v>
      </c>
      <c r="T39">
        <v>0</v>
      </c>
      <c r="U39">
        <f t="shared" si="20"/>
        <v>5.49</v>
      </c>
      <c r="V39">
        <f t="shared" si="21"/>
        <v>0.46679875680966398</v>
      </c>
    </row>
    <row r="40" spans="1:22" x14ac:dyDescent="0.3">
      <c r="A40">
        <v>1986</v>
      </c>
      <c r="B40">
        <v>209.92242290992601</v>
      </c>
      <c r="C40">
        <f t="shared" si="11"/>
        <v>3.6999999999999998E-2</v>
      </c>
      <c r="D40">
        <f t="shared" si="16"/>
        <v>13.76479966206125</v>
      </c>
      <c r="E40">
        <f t="shared" si="17"/>
        <v>0.30878706600169903</v>
      </c>
      <c r="F40">
        <v>4960568</v>
      </c>
      <c r="G40">
        <v>4.9605680000000003</v>
      </c>
      <c r="H40">
        <v>44.576995533826903</v>
      </c>
      <c r="I40">
        <v>5.5679999999999996</v>
      </c>
      <c r="J40">
        <v>0.50758467389806716</v>
      </c>
      <c r="K40">
        <v>0.40333333333333332</v>
      </c>
      <c r="L40">
        <f t="shared" si="12"/>
        <v>0.40333333333333332</v>
      </c>
      <c r="M40">
        <f t="shared" si="13"/>
        <v>1.209997311111111E-3</v>
      </c>
      <c r="N40">
        <v>0</v>
      </c>
      <c r="O40">
        <v>636.99478328511486</v>
      </c>
      <c r="P40">
        <f t="shared" si="14"/>
        <v>44.630998922515353</v>
      </c>
      <c r="Q40">
        <f t="shared" si="18"/>
        <v>0.4571072235111473</v>
      </c>
      <c r="R40">
        <f t="shared" si="15"/>
        <v>21.625841355451175</v>
      </c>
      <c r="S40">
        <f t="shared" si="19"/>
        <v>2.0637809271298164</v>
      </c>
      <c r="T40">
        <v>0</v>
      </c>
      <c r="U40">
        <f t="shared" si="20"/>
        <v>5.5679999999999996</v>
      </c>
      <c r="V40">
        <f t="shared" si="21"/>
        <v>0.4571072235111473</v>
      </c>
    </row>
    <row r="41" spans="1:22" x14ac:dyDescent="0.3">
      <c r="A41">
        <v>1987</v>
      </c>
      <c r="B41">
        <v>215.92009292431999</v>
      </c>
      <c r="C41">
        <f t="shared" si="11"/>
        <v>3.6999999999999998E-2</v>
      </c>
      <c r="D41">
        <f t="shared" si="16"/>
        <v>14.463060372715859</v>
      </c>
      <c r="E41">
        <f t="shared" si="17"/>
        <v>0.31220391996168351</v>
      </c>
      <c r="F41">
        <v>5052522</v>
      </c>
      <c r="G41">
        <v>5.0525219999999997</v>
      </c>
      <c r="H41">
        <v>46.325684746337899</v>
      </c>
      <c r="I41">
        <v>5.7489999999999997</v>
      </c>
      <c r="J41">
        <v>0.52309872216190612</v>
      </c>
      <c r="K41">
        <v>0.54666666666666675</v>
      </c>
      <c r="L41">
        <f t="shared" si="12"/>
        <v>0.54666666666666675</v>
      </c>
      <c r="M41">
        <f t="shared" si="13"/>
        <v>2.2228049777777785E-3</v>
      </c>
      <c r="N41">
        <v>0</v>
      </c>
      <c r="O41">
        <v>633.77747551348966</v>
      </c>
      <c r="P41">
        <f t="shared" si="14"/>
        <v>46.428887107713606</v>
      </c>
      <c r="Q41">
        <f t="shared" si="18"/>
        <v>0.45369030601856514</v>
      </c>
      <c r="R41">
        <f t="shared" si="15"/>
        <v>22.111772213054682</v>
      </c>
      <c r="S41">
        <f t="shared" si="19"/>
        <v>2.0997361342345151</v>
      </c>
      <c r="T41">
        <v>0</v>
      </c>
      <c r="U41">
        <f t="shared" si="20"/>
        <v>5.7489999999999997</v>
      </c>
      <c r="V41">
        <f t="shared" si="21"/>
        <v>0.45369030601856514</v>
      </c>
    </row>
    <row r="42" spans="1:22" x14ac:dyDescent="0.3">
      <c r="A42">
        <v>1988</v>
      </c>
      <c r="B42">
        <v>222.394109858836</v>
      </c>
      <c r="C42">
        <f t="shared" si="11"/>
        <v>3.6999999999999998E-2</v>
      </c>
      <c r="D42">
        <f t="shared" si="16"/>
        <v>14.997453505212917</v>
      </c>
      <c r="E42">
        <f t="shared" si="17"/>
        <v>0.31028007380039235</v>
      </c>
      <c r="F42">
        <v>5145426</v>
      </c>
      <c r="G42">
        <v>5.1454259999999996</v>
      </c>
      <c r="H42">
        <v>48.335213156037199</v>
      </c>
      <c r="I42">
        <v>5.968</v>
      </c>
      <c r="J42">
        <v>0.53906762430095012</v>
      </c>
      <c r="K42">
        <v>0.56999999999999995</v>
      </c>
      <c r="L42">
        <f t="shared" si="12"/>
        <v>0.56999999999999995</v>
      </c>
      <c r="M42">
        <f t="shared" si="13"/>
        <v>2.4166061999999996E-3</v>
      </c>
      <c r="N42">
        <v>0</v>
      </c>
      <c r="O42">
        <v>630.57641759126511</v>
      </c>
      <c r="P42">
        <f t="shared" si="14"/>
        <v>48.452303292578321</v>
      </c>
      <c r="Q42">
        <f t="shared" si="18"/>
        <v>0.45130469583577959</v>
      </c>
      <c r="R42">
        <f t="shared" si="15"/>
        <v>22.61880982065237</v>
      </c>
      <c r="S42">
        <f t="shared" si="19"/>
        <v>2.1421243503421818</v>
      </c>
      <c r="T42">
        <v>0</v>
      </c>
      <c r="U42">
        <f t="shared" si="20"/>
        <v>5.968</v>
      </c>
      <c r="V42">
        <f t="shared" si="21"/>
        <v>0.45130469583577959</v>
      </c>
    </row>
    <row r="43" spans="1:22" x14ac:dyDescent="0.3">
      <c r="A43">
        <v>1989</v>
      </c>
      <c r="B43">
        <v>229.16298129927199</v>
      </c>
      <c r="C43">
        <f t="shared" si="11"/>
        <v>3.6999999999999998E-2</v>
      </c>
      <c r="D43">
        <f t="shared" si="16"/>
        <v>15.376750673772079</v>
      </c>
      <c r="E43">
        <f t="shared" si="17"/>
        <v>0.30741500475726308</v>
      </c>
      <c r="F43">
        <v>5237441</v>
      </c>
      <c r="G43">
        <v>5.2374409999999996</v>
      </c>
      <c r="H43">
        <v>50.019519007908102</v>
      </c>
      <c r="I43">
        <v>6.0570000000000004</v>
      </c>
      <c r="J43">
        <v>0.55596967075587711</v>
      </c>
      <c r="K43">
        <v>0.47333333333333333</v>
      </c>
      <c r="L43">
        <f t="shared" si="12"/>
        <v>0.47333333333333333</v>
      </c>
      <c r="M43">
        <f t="shared" si="13"/>
        <v>1.6664425777777778E-3</v>
      </c>
      <c r="N43">
        <v>0</v>
      </c>
      <c r="O43">
        <v>627.39152744435182</v>
      </c>
      <c r="P43">
        <f t="shared" si="14"/>
        <v>50.103012801715828</v>
      </c>
      <c r="Q43">
        <f t="shared" si="18"/>
        <v>0.44294438116583651</v>
      </c>
      <c r="R43">
        <f t="shared" si="15"/>
        <v>23.134512417531365</v>
      </c>
      <c r="S43">
        <f t="shared" si="19"/>
        <v>2.1657259032504053</v>
      </c>
      <c r="T43">
        <v>0</v>
      </c>
      <c r="U43">
        <f t="shared" si="20"/>
        <v>6.0570000000000004</v>
      </c>
      <c r="V43">
        <f t="shared" si="21"/>
        <v>0.44294438116583651</v>
      </c>
    </row>
    <row r="44" spans="1:22" x14ac:dyDescent="0.3">
      <c r="A44">
        <v>1990</v>
      </c>
      <c r="B44">
        <v>236.06070166497099</v>
      </c>
      <c r="C44">
        <f t="shared" si="11"/>
        <v>3.6999999999999998E-2</v>
      </c>
      <c r="D44">
        <f t="shared" si="16"/>
        <v>15.564442280144931</v>
      </c>
      <c r="E44">
        <f t="shared" si="17"/>
        <v>0.30171066333508728</v>
      </c>
      <c r="F44">
        <v>5327231</v>
      </c>
      <c r="G44">
        <v>5.3272310000000003</v>
      </c>
      <c r="H44">
        <v>51.587312520203099</v>
      </c>
      <c r="I44">
        <v>6.1950000000000003</v>
      </c>
      <c r="J44">
        <v>0.57384822692895809</v>
      </c>
      <c r="K44">
        <v>0.64666666666666661</v>
      </c>
      <c r="L44">
        <f t="shared" si="12"/>
        <v>0.64666666666666661</v>
      </c>
      <c r="M44">
        <f t="shared" si="13"/>
        <v>3.1104063111111104E-3</v>
      </c>
      <c r="N44">
        <v>0</v>
      </c>
      <c r="O44">
        <v>624.22272341319695</v>
      </c>
      <c r="P44">
        <f t="shared" si="14"/>
        <v>51.748270667877556</v>
      </c>
      <c r="Q44">
        <f t="shared" si="18"/>
        <v>0.43863262882115894</v>
      </c>
      <c r="R44">
        <f t="shared" si="15"/>
        <v>23.648506977880871</v>
      </c>
      <c r="S44">
        <f t="shared" si="19"/>
        <v>2.1882256971350964</v>
      </c>
      <c r="T44">
        <v>0</v>
      </c>
      <c r="U44">
        <f t="shared" si="20"/>
        <v>6.1950000000000003</v>
      </c>
      <c r="V44">
        <f t="shared" si="21"/>
        <v>0.43863262882115894</v>
      </c>
    </row>
    <row r="45" spans="1:22" x14ac:dyDescent="0.3">
      <c r="A45">
        <v>1991</v>
      </c>
      <c r="B45">
        <v>242.89089798351199</v>
      </c>
      <c r="C45">
        <f t="shared" si="11"/>
        <v>3.6999999999999998E-2</v>
      </c>
      <c r="D45">
        <f t="shared" si="16"/>
        <v>15.75225185851798</v>
      </c>
      <c r="E45">
        <f t="shared" si="17"/>
        <v>0.30242827121650823</v>
      </c>
      <c r="F45">
        <v>5414289</v>
      </c>
      <c r="G45">
        <v>5.4142890000000001</v>
      </c>
      <c r="H45">
        <v>52.085910471117799</v>
      </c>
      <c r="I45">
        <v>6.3239999999999998</v>
      </c>
      <c r="J45">
        <v>0.59187139036468117</v>
      </c>
      <c r="K45">
        <v>0.59666666666666668</v>
      </c>
      <c r="L45">
        <f t="shared" si="12"/>
        <v>0.59666666666666668</v>
      </c>
      <c r="M45">
        <f t="shared" si="13"/>
        <v>2.6480106444444445E-3</v>
      </c>
      <c r="N45">
        <v>0</v>
      </c>
      <c r="O45">
        <v>621.06992425069052</v>
      </c>
      <c r="P45">
        <f t="shared" si="14"/>
        <v>52.224200710496795</v>
      </c>
      <c r="Q45">
        <f t="shared" si="18"/>
        <v>0.44368579479939696</v>
      </c>
      <c r="R45">
        <f t="shared" si="15"/>
        <v>24.151603285060929</v>
      </c>
      <c r="S45">
        <f t="shared" si="19"/>
        <v>2.1623492276721969</v>
      </c>
      <c r="T45">
        <v>0</v>
      </c>
      <c r="U45">
        <f t="shared" si="20"/>
        <v>6.3239999999999998</v>
      </c>
      <c r="V45">
        <f t="shared" si="21"/>
        <v>0.44368579479939696</v>
      </c>
    </row>
    <row r="46" spans="1:22" x14ac:dyDescent="0.3">
      <c r="A46">
        <v>1992</v>
      </c>
      <c r="B46">
        <v>249.65618661664001</v>
      </c>
      <c r="C46">
        <f t="shared" si="11"/>
        <v>3.6999999999999998E-2</v>
      </c>
      <c r="D46">
        <f t="shared" si="16"/>
        <v>15.798656813467687</v>
      </c>
      <c r="E46">
        <f t="shared" si="17"/>
        <v>0.29901477000717508</v>
      </c>
      <c r="F46">
        <v>5498920</v>
      </c>
      <c r="G46">
        <v>5.49892</v>
      </c>
      <c r="H46">
        <v>52.835707122723697</v>
      </c>
      <c r="I46">
        <v>6.1260000000000003</v>
      </c>
      <c r="J46">
        <v>0.60908039717277318</v>
      </c>
      <c r="K46">
        <v>0.4366666666666667</v>
      </c>
      <c r="L46">
        <f t="shared" si="12"/>
        <v>0.4366666666666667</v>
      </c>
      <c r="M46">
        <f t="shared" ref="M46:M73" si="22">$M$2*L46^2</f>
        <v>1.4182613111111114E-3</v>
      </c>
      <c r="N46">
        <v>0</v>
      </c>
      <c r="O46">
        <v>617.93304912008205</v>
      </c>
      <c r="P46">
        <f t="shared" ref="P46:P73" si="23">(H46+I46*3.664*N46^$O$1*O46/(1000*$O$1))/(1-M46)</f>
        <v>52.910748390107322</v>
      </c>
      <c r="Q46">
        <f t="shared" si="18"/>
        <v>0.42421747344244043</v>
      </c>
      <c r="R46">
        <f t="shared" ref="R46:R73" si="24">B46^$S$1*G46^(1-$S$1)</f>
        <v>24.644743875345341</v>
      </c>
      <c r="S46">
        <f t="shared" si="19"/>
        <v>2.1469384570492274</v>
      </c>
      <c r="T46">
        <v>0</v>
      </c>
      <c r="U46">
        <f t="shared" si="20"/>
        <v>6.1260000000000003</v>
      </c>
      <c r="V46">
        <f t="shared" si="21"/>
        <v>0.42421747344244043</v>
      </c>
    </row>
    <row r="47" spans="1:22" x14ac:dyDescent="0.3">
      <c r="A47">
        <v>1993</v>
      </c>
      <c r="B47">
        <v>256.217564525292</v>
      </c>
      <c r="C47">
        <f t="shared" si="11"/>
        <v>3.6999999999999998E-2</v>
      </c>
      <c r="D47">
        <f t="shared" si="16"/>
        <v>16.37233020509882</v>
      </c>
      <c r="E47">
        <f t="shared" si="17"/>
        <v>0.30477253954354711</v>
      </c>
      <c r="F47">
        <v>5581598</v>
      </c>
      <c r="G47">
        <v>5.5815979999999996</v>
      </c>
      <c r="H47">
        <v>53.719833911609598</v>
      </c>
      <c r="I47">
        <v>6.1909999999999998</v>
      </c>
      <c r="J47">
        <v>0.6255102083789541</v>
      </c>
      <c r="K47">
        <v>0.46666666666666662</v>
      </c>
      <c r="L47">
        <f t="shared" si="12"/>
        <v>0.46666666666666662</v>
      </c>
      <c r="M47">
        <f t="shared" si="22"/>
        <v>1.6198311111111109E-3</v>
      </c>
      <c r="N47">
        <v>0</v>
      </c>
      <c r="O47">
        <v>614.81201759290832</v>
      </c>
      <c r="P47">
        <f t="shared" si="23"/>
        <v>53.806992151491897</v>
      </c>
      <c r="Q47">
        <f t="shared" si="18"/>
        <v>0.42157762575046764</v>
      </c>
      <c r="R47">
        <f t="shared" si="24"/>
        <v>25.123883203284933</v>
      </c>
      <c r="S47">
        <f t="shared" si="19"/>
        <v>2.1416670232114701</v>
      </c>
      <c r="T47">
        <v>0</v>
      </c>
      <c r="U47">
        <f t="shared" si="20"/>
        <v>6.1909999999999998</v>
      </c>
      <c r="V47">
        <f t="shared" si="21"/>
        <v>0.42157762575046764</v>
      </c>
    </row>
    <row r="48" spans="1:22" x14ac:dyDescent="0.3">
      <c r="A48">
        <v>1994</v>
      </c>
      <c r="B48">
        <v>263.109844842955</v>
      </c>
      <c r="C48">
        <f t="shared" si="11"/>
        <v>3.6999999999999998E-2</v>
      </c>
      <c r="D48">
        <f t="shared" si="16"/>
        <v>16.954446133075351</v>
      </c>
      <c r="E48">
        <f t="shared" si="17"/>
        <v>0.30728772191209019</v>
      </c>
      <c r="F48">
        <v>5663150</v>
      </c>
      <c r="G48">
        <v>5.6631499999999999</v>
      </c>
      <c r="H48">
        <v>55.174499090223101</v>
      </c>
      <c r="I48">
        <v>6.2350000000000003</v>
      </c>
      <c r="J48">
        <v>0.64170946809248408</v>
      </c>
      <c r="K48">
        <v>0.53666666666666674</v>
      </c>
      <c r="L48">
        <f t="shared" si="12"/>
        <v>0.53666666666666674</v>
      </c>
      <c r="M48">
        <f t="shared" si="22"/>
        <v>2.142226644444445E-3</v>
      </c>
      <c r="N48">
        <v>0</v>
      </c>
      <c r="O48">
        <v>611.70674964693069</v>
      </c>
      <c r="P48">
        <f t="shared" si="23"/>
        <v>55.292949119075892</v>
      </c>
      <c r="Q48">
        <f t="shared" si="18"/>
        <v>0.41316371009262254</v>
      </c>
      <c r="R48">
        <f t="shared" si="24"/>
        <v>25.611902899143946</v>
      </c>
      <c r="S48">
        <f t="shared" si="19"/>
        <v>2.1588770399767525</v>
      </c>
      <c r="T48">
        <v>0</v>
      </c>
      <c r="U48">
        <f t="shared" si="20"/>
        <v>6.2350000000000003</v>
      </c>
      <c r="V48">
        <f t="shared" si="21"/>
        <v>0.41316371009262254</v>
      </c>
    </row>
    <row r="49" spans="1:22" x14ac:dyDescent="0.3">
      <c r="A49">
        <v>1995</v>
      </c>
      <c r="B49">
        <v>270.32922671684099</v>
      </c>
      <c r="C49">
        <f t="shared" si="11"/>
        <v>3.6999999999999998E-2</v>
      </c>
      <c r="D49">
        <f t="shared" si="16"/>
        <v>17.862650400394159</v>
      </c>
      <c r="E49">
        <f t="shared" si="17"/>
        <v>0.31372210039241516</v>
      </c>
      <c r="F49">
        <v>5744213</v>
      </c>
      <c r="G49">
        <v>5.7442130000000002</v>
      </c>
      <c r="H49">
        <v>56.937813364282903</v>
      </c>
      <c r="I49">
        <v>6.3680000000000003</v>
      </c>
      <c r="J49">
        <v>0.65819590549591711</v>
      </c>
      <c r="K49">
        <v>0.66333333333333344</v>
      </c>
      <c r="L49">
        <f t="shared" si="12"/>
        <v>0.66333333333333344</v>
      </c>
      <c r="M49">
        <f t="shared" si="22"/>
        <v>3.2728026444444453E-3</v>
      </c>
      <c r="N49">
        <v>0</v>
      </c>
      <c r="O49">
        <v>608.61716566408393</v>
      </c>
      <c r="P49">
        <f t="shared" si="23"/>
        <v>57.124771467404706</v>
      </c>
      <c r="Q49">
        <f t="shared" si="18"/>
        <v>0.40844543270187789</v>
      </c>
      <c r="R49">
        <f t="shared" si="24"/>
        <v>26.110148929164602</v>
      </c>
      <c r="S49">
        <f t="shared" si="19"/>
        <v>2.1878378259113371</v>
      </c>
      <c r="T49">
        <v>0</v>
      </c>
      <c r="U49">
        <f t="shared" si="20"/>
        <v>6.3680000000000003</v>
      </c>
      <c r="V49">
        <f t="shared" si="21"/>
        <v>0.40844543270187789</v>
      </c>
    </row>
    <row r="50" spans="1:22" x14ac:dyDescent="0.3">
      <c r="A50">
        <v>1996</v>
      </c>
      <c r="B50">
        <v>278.18969572871202</v>
      </c>
      <c r="C50">
        <f t="shared" si="11"/>
        <v>3.6999999999999998E-2</v>
      </c>
      <c r="D50">
        <f t="shared" si="16"/>
        <v>18.398970777422278</v>
      </c>
      <c r="E50">
        <f t="shared" si="17"/>
        <v>0.31133816671248887</v>
      </c>
      <c r="F50">
        <v>5824892</v>
      </c>
      <c r="G50">
        <v>5.8248920000000002</v>
      </c>
      <c r="H50">
        <v>59.096419085724101</v>
      </c>
      <c r="I50">
        <v>6.5640000000000001</v>
      </c>
      <c r="J50">
        <v>0.67537599224360612</v>
      </c>
      <c r="K50">
        <v>0.52666666666666673</v>
      </c>
      <c r="L50">
        <f t="shared" si="12"/>
        <v>0.52666666666666673</v>
      </c>
      <c r="M50">
        <f t="shared" si="22"/>
        <v>2.0631359111111117E-3</v>
      </c>
      <c r="N50">
        <v>0</v>
      </c>
      <c r="O50">
        <v>605.54318642843441</v>
      </c>
      <c r="P50">
        <f t="shared" si="23"/>
        <v>59.21859509587194</v>
      </c>
      <c r="Q50">
        <f t="shared" si="18"/>
        <v>0.40613081011232122</v>
      </c>
      <c r="R50">
        <f t="shared" si="24"/>
        <v>26.630485505286732</v>
      </c>
      <c r="S50">
        <f t="shared" si="19"/>
        <v>2.2237144375049325</v>
      </c>
      <c r="T50">
        <v>0</v>
      </c>
      <c r="U50">
        <f t="shared" si="20"/>
        <v>6.5640000000000001</v>
      </c>
      <c r="V50">
        <f t="shared" si="21"/>
        <v>0.40613081011232122</v>
      </c>
    </row>
    <row r="51" spans="1:22" x14ac:dyDescent="0.3">
      <c r="A51">
        <v>1997</v>
      </c>
      <c r="B51">
        <v>286.29564776417197</v>
      </c>
      <c r="C51">
        <f t="shared" si="11"/>
        <v>3.6999999999999998E-2</v>
      </c>
      <c r="D51">
        <f t="shared" si="16"/>
        <v>18.425357765100443</v>
      </c>
      <c r="E51">
        <f t="shared" si="17"/>
        <v>0.30036544904617024</v>
      </c>
      <c r="F51">
        <v>5905046</v>
      </c>
      <c r="G51">
        <v>5.9050459999999996</v>
      </c>
      <c r="H51">
        <v>61.343133251881497</v>
      </c>
      <c r="I51">
        <v>6.6020000000000003</v>
      </c>
      <c r="J51">
        <v>0.6925385239899281</v>
      </c>
      <c r="K51">
        <v>0.70666666666666667</v>
      </c>
      <c r="L51">
        <f t="shared" si="12"/>
        <v>0.70666666666666667</v>
      </c>
      <c r="M51">
        <f t="shared" si="22"/>
        <v>3.7143719111111112E-3</v>
      </c>
      <c r="N51">
        <v>0</v>
      </c>
      <c r="O51">
        <v>602.4847331241491</v>
      </c>
      <c r="P51">
        <f t="shared" si="23"/>
        <v>61.571833942392722</v>
      </c>
      <c r="Q51">
        <f t="shared" si="18"/>
        <v>0.39287002597051396</v>
      </c>
      <c r="R51">
        <f t="shared" si="24"/>
        <v>27.157195135687743</v>
      </c>
      <c r="S51">
        <f t="shared" si="19"/>
        <v>2.2672383371977949</v>
      </c>
      <c r="T51">
        <v>0</v>
      </c>
      <c r="U51">
        <f t="shared" si="20"/>
        <v>6.6020000000000003</v>
      </c>
      <c r="V51">
        <f t="shared" si="21"/>
        <v>0.39287002597051396</v>
      </c>
    </row>
    <row r="52" spans="1:22" x14ac:dyDescent="0.3">
      <c r="A52">
        <v>1998</v>
      </c>
      <c r="B52">
        <v>294.12806656199803</v>
      </c>
      <c r="C52">
        <f t="shared" si="11"/>
        <v>3.6999999999999998E-2</v>
      </c>
      <c r="D52">
        <f t="shared" si="16"/>
        <v>18.668857958961951</v>
      </c>
      <c r="E52">
        <f t="shared" si="17"/>
        <v>0.29808639817120436</v>
      </c>
      <c r="F52">
        <v>5984794</v>
      </c>
      <c r="G52">
        <v>5.9847939999999999</v>
      </c>
      <c r="H52">
        <v>62.629016531776102</v>
      </c>
      <c r="I52">
        <v>6.5810000000000004</v>
      </c>
      <c r="J52">
        <v>0.70858689694974408</v>
      </c>
      <c r="K52">
        <v>0.84666666666666668</v>
      </c>
      <c r="L52">
        <f t="shared" si="12"/>
        <v>0.84666666666666668</v>
      </c>
      <c r="M52">
        <f t="shared" si="22"/>
        <v>5.3318889777777788E-3</v>
      </c>
      <c r="N52">
        <v>0</v>
      </c>
      <c r="O52">
        <v>599.441727333475</v>
      </c>
      <c r="P52">
        <f t="shared" si="23"/>
        <v>62.96473752175703</v>
      </c>
      <c r="Q52">
        <f t="shared" si="18"/>
        <v>0.38295695255885082</v>
      </c>
      <c r="R52">
        <f t="shared" si="24"/>
        <v>27.671242988612001</v>
      </c>
      <c r="S52">
        <f t="shared" si="19"/>
        <v>2.2754575046617869</v>
      </c>
      <c r="T52">
        <v>0</v>
      </c>
      <c r="U52">
        <f t="shared" si="20"/>
        <v>6.5810000000000004</v>
      </c>
      <c r="V52">
        <f t="shared" si="21"/>
        <v>0.38295695255885082</v>
      </c>
    </row>
    <row r="53" spans="1:22" x14ac:dyDescent="0.3">
      <c r="A53">
        <v>1999</v>
      </c>
      <c r="B53">
        <v>301.91418605816602</v>
      </c>
      <c r="C53">
        <f t="shared" si="11"/>
        <v>3.6999999999999998E-2</v>
      </c>
      <c r="D53">
        <f t="shared" si="16"/>
        <v>19.351972983938083</v>
      </c>
      <c r="E53">
        <f t="shared" si="17"/>
        <v>0.29877551190163221</v>
      </c>
      <c r="F53">
        <v>6064239</v>
      </c>
      <c r="G53">
        <v>6.0642389999999997</v>
      </c>
      <c r="H53">
        <v>64.770947460745901</v>
      </c>
      <c r="I53">
        <v>6.6680000000000001</v>
      </c>
      <c r="J53">
        <v>0.72357151979652312</v>
      </c>
      <c r="K53">
        <v>0.62666666666666659</v>
      </c>
      <c r="L53">
        <f t="shared" si="12"/>
        <v>0.62666666666666659</v>
      </c>
      <c r="M53">
        <f t="shared" si="22"/>
        <v>2.9209852444444439E-3</v>
      </c>
      <c r="N53">
        <v>0</v>
      </c>
      <c r="O53">
        <v>596.41409103472813</v>
      </c>
      <c r="P53">
        <f t="shared" si="23"/>
        <v>64.960696697267451</v>
      </c>
      <c r="Q53">
        <f t="shared" si="18"/>
        <v>0.37609744418008534</v>
      </c>
      <c r="R53">
        <f t="shared" si="24"/>
        <v>28.181568317367795</v>
      </c>
      <c r="S53">
        <f t="shared" si="19"/>
        <v>2.3050774167608457</v>
      </c>
      <c r="T53">
        <v>0</v>
      </c>
      <c r="U53">
        <f t="shared" si="20"/>
        <v>6.6680000000000001</v>
      </c>
      <c r="V53">
        <f t="shared" si="21"/>
        <v>0.37609744418008534</v>
      </c>
    </row>
    <row r="54" spans="1:22" x14ac:dyDescent="0.3">
      <c r="A54">
        <v>2000</v>
      </c>
      <c r="B54">
        <v>310.09533415795198</v>
      </c>
      <c r="C54">
        <f t="shared" si="11"/>
        <v>3.6999999999999998E-2</v>
      </c>
      <c r="D54">
        <f t="shared" si="16"/>
        <v>19.169857720889297</v>
      </c>
      <c r="E54">
        <f t="shared" si="17"/>
        <v>0.28290541275291675</v>
      </c>
      <c r="F54">
        <v>6143494</v>
      </c>
      <c r="G54">
        <v>6.1434939999999996</v>
      </c>
      <c r="H54">
        <v>67.760660831299901</v>
      </c>
      <c r="I54">
        <v>6.8559999999999999</v>
      </c>
      <c r="J54">
        <v>0.73774051090399018</v>
      </c>
      <c r="K54">
        <v>0.62333333333333341</v>
      </c>
      <c r="L54">
        <f t="shared" si="12"/>
        <v>0.62333333333333341</v>
      </c>
      <c r="M54">
        <f t="shared" si="22"/>
        <v>2.8899935777777783E-3</v>
      </c>
      <c r="N54">
        <v>0</v>
      </c>
      <c r="O54">
        <v>593.40174660029356</v>
      </c>
      <c r="P54">
        <f t="shared" si="23"/>
        <v>67.957056287535565</v>
      </c>
      <c r="Q54">
        <f t="shared" si="18"/>
        <v>0.36965085558903898</v>
      </c>
      <c r="R54">
        <f t="shared" si="24"/>
        <v>28.70465337016751</v>
      </c>
      <c r="S54">
        <f t="shared" si="19"/>
        <v>2.3674578268261803</v>
      </c>
      <c r="T54">
        <v>0</v>
      </c>
      <c r="U54">
        <f t="shared" si="20"/>
        <v>6.8559999999999999</v>
      </c>
      <c r="V54">
        <f t="shared" si="21"/>
        <v>0.36965085558903898</v>
      </c>
    </row>
    <row r="55" spans="1:22" x14ac:dyDescent="0.3">
      <c r="A55">
        <v>2001</v>
      </c>
      <c r="B55">
        <v>317.79166451499702</v>
      </c>
      <c r="C55">
        <f t="shared" si="11"/>
        <v>3.6999999999999998E-2</v>
      </c>
      <c r="D55">
        <f t="shared" si="16"/>
        <v>19.238521729309866</v>
      </c>
      <c r="E55">
        <f t="shared" si="17"/>
        <v>0.27726539912433495</v>
      </c>
      <c r="F55">
        <v>6222627</v>
      </c>
      <c r="G55">
        <v>6.2226270000000001</v>
      </c>
      <c r="H55">
        <v>69.386666313464801</v>
      </c>
      <c r="I55">
        <v>6.9139999999999997</v>
      </c>
      <c r="J55">
        <v>0.75125964161986514</v>
      </c>
      <c r="K55">
        <v>0.76666666666666661</v>
      </c>
      <c r="L55">
        <f t="shared" si="12"/>
        <v>0.76666666666666661</v>
      </c>
      <c r="M55">
        <f t="shared" si="22"/>
        <v>4.3718911111111109E-3</v>
      </c>
      <c r="N55">
        <v>0</v>
      </c>
      <c r="O55">
        <v>590.40461679463465</v>
      </c>
      <c r="P55">
        <f t="shared" si="23"/>
        <v>69.691349304008341</v>
      </c>
      <c r="Q55">
        <f t="shared" si="18"/>
        <v>0.36350129898464978</v>
      </c>
      <c r="R55">
        <f t="shared" si="24"/>
        <v>29.208635388094176</v>
      </c>
      <c r="S55">
        <f t="shared" si="19"/>
        <v>2.3859844315909209</v>
      </c>
      <c r="T55">
        <v>0</v>
      </c>
      <c r="U55">
        <f t="shared" si="20"/>
        <v>6.9139999999999997</v>
      </c>
      <c r="V55">
        <f t="shared" si="21"/>
        <v>0.36350129898464978</v>
      </c>
    </row>
    <row r="56" spans="1:22" x14ac:dyDescent="0.3">
      <c r="A56">
        <v>2002</v>
      </c>
      <c r="B56">
        <v>325.27189465725201</v>
      </c>
      <c r="C56">
        <f t="shared" si="11"/>
        <v>3.6999999999999998E-2</v>
      </c>
      <c r="D56">
        <f t="shared" si="16"/>
        <v>20.262921682344313</v>
      </c>
      <c r="E56">
        <f t="shared" si="17"/>
        <v>0.28371691829905521</v>
      </c>
      <c r="F56">
        <v>6301773</v>
      </c>
      <c r="G56">
        <v>6.3017729999999998</v>
      </c>
      <c r="H56">
        <v>71.419504356049501</v>
      </c>
      <c r="I56">
        <v>7.0720000000000001</v>
      </c>
      <c r="J56">
        <v>0.76489654344172309</v>
      </c>
      <c r="K56">
        <v>0.83</v>
      </c>
      <c r="L56">
        <f t="shared" si="12"/>
        <v>0.83</v>
      </c>
      <c r="M56">
        <f t="shared" si="22"/>
        <v>5.1240382000000001E-3</v>
      </c>
      <c r="N56">
        <v>0</v>
      </c>
      <c r="O56">
        <v>587.42262477231293</v>
      </c>
      <c r="P56">
        <f t="shared" si="23"/>
        <v>71.787345456444925</v>
      </c>
      <c r="Q56">
        <f t="shared" si="18"/>
        <v>0.3609523076141784</v>
      </c>
      <c r="R56">
        <f t="shared" si="24"/>
        <v>29.703975813210739</v>
      </c>
      <c r="S56">
        <f t="shared" si="19"/>
        <v>2.4167588173337307</v>
      </c>
      <c r="T56">
        <v>0</v>
      </c>
      <c r="U56">
        <f t="shared" si="20"/>
        <v>7.0720000000000001</v>
      </c>
      <c r="V56">
        <f t="shared" si="21"/>
        <v>0.3609523076141784</v>
      </c>
    </row>
    <row r="57" spans="1:22" x14ac:dyDescent="0.3">
      <c r="A57">
        <v>2003</v>
      </c>
      <c r="B57">
        <v>333.49975623727801</v>
      </c>
      <c r="C57">
        <f t="shared" si="11"/>
        <v>3.6999999999999998E-2</v>
      </c>
      <c r="D57">
        <f t="shared" si="16"/>
        <v>21.684493012693338</v>
      </c>
      <c r="E57">
        <f t="shared" si="17"/>
        <v>0.29289718404044129</v>
      </c>
      <c r="F57">
        <v>6381185</v>
      </c>
      <c r="G57">
        <v>6.3811850000000003</v>
      </c>
      <c r="H57">
        <v>74.034487848470704</v>
      </c>
      <c r="I57">
        <v>7.4169999999999998</v>
      </c>
      <c r="J57">
        <v>0.77916857850257315</v>
      </c>
      <c r="K57">
        <v>0.83666666666666656</v>
      </c>
      <c r="L57">
        <f t="shared" si="12"/>
        <v>0.83666666666666656</v>
      </c>
      <c r="M57">
        <f t="shared" si="22"/>
        <v>5.2066826444444429E-3</v>
      </c>
      <c r="N57">
        <v>0</v>
      </c>
      <c r="O57">
        <v>584.45569407601795</v>
      </c>
      <c r="P57">
        <f t="shared" si="23"/>
        <v>74.421979477380788</v>
      </c>
      <c r="Q57">
        <f t="shared" si="18"/>
        <v>0.3651594353017662</v>
      </c>
      <c r="R57">
        <f t="shared" si="24"/>
        <v>30.225964660386481</v>
      </c>
      <c r="S57">
        <f t="shared" si="19"/>
        <v>2.4621870737153571</v>
      </c>
      <c r="T57">
        <v>0</v>
      </c>
      <c r="U57">
        <f t="shared" si="20"/>
        <v>7.4169999999999998</v>
      </c>
      <c r="V57">
        <f t="shared" si="21"/>
        <v>0.3651594353017662</v>
      </c>
    </row>
    <row r="58" spans="1:22" x14ac:dyDescent="0.3">
      <c r="A58">
        <v>2004</v>
      </c>
      <c r="B58">
        <v>342.84475826919203</v>
      </c>
      <c r="C58">
        <f t="shared" si="11"/>
        <v>3.6999999999999998E-2</v>
      </c>
      <c r="D58">
        <f t="shared" si="16"/>
        <v>23.210079209573109</v>
      </c>
      <c r="E58">
        <f t="shared" si="17"/>
        <v>0.29812356148006797</v>
      </c>
      <c r="F58">
        <v>6461159</v>
      </c>
      <c r="G58">
        <v>6.4611590000000003</v>
      </c>
      <c r="H58">
        <v>77.853890830848997</v>
      </c>
      <c r="I58">
        <v>7.77</v>
      </c>
      <c r="J58">
        <v>0.79402670045222512</v>
      </c>
      <c r="K58">
        <v>0.77</v>
      </c>
      <c r="L58">
        <f t="shared" si="12"/>
        <v>0.77</v>
      </c>
      <c r="M58">
        <f t="shared" si="22"/>
        <v>4.4099902E-3</v>
      </c>
      <c r="N58">
        <v>0</v>
      </c>
      <c r="O58">
        <v>581.5037486346065</v>
      </c>
      <c r="P58">
        <f t="shared" si="23"/>
        <v>78.198746536728251</v>
      </c>
      <c r="Q58">
        <f t="shared" si="18"/>
        <v>0.36406312454929951</v>
      </c>
      <c r="R58">
        <f t="shared" si="24"/>
        <v>30.787976740736365</v>
      </c>
      <c r="S58">
        <f t="shared" si="19"/>
        <v>2.5399118362091482</v>
      </c>
      <c r="T58">
        <v>0</v>
      </c>
      <c r="U58">
        <f t="shared" si="20"/>
        <v>7.77</v>
      </c>
      <c r="V58">
        <f t="shared" si="21"/>
        <v>0.36406312454929951</v>
      </c>
    </row>
    <row r="59" spans="1:22" x14ac:dyDescent="0.3">
      <c r="A59">
        <v>2005</v>
      </c>
      <c r="B59">
        <v>353.36958142280503</v>
      </c>
      <c r="C59">
        <f t="shared" si="11"/>
        <v>3.6999999999999998E-2</v>
      </c>
      <c r="D59">
        <f t="shared" si="16"/>
        <v>24.769303333134758</v>
      </c>
      <c r="E59">
        <f t="shared" si="17"/>
        <v>0.30428121293777044</v>
      </c>
      <c r="F59">
        <v>6541907</v>
      </c>
      <c r="G59">
        <v>6.5419070000000001</v>
      </c>
      <c r="H59">
        <v>81.402670555938698</v>
      </c>
      <c r="I59">
        <v>8.0269999999999992</v>
      </c>
      <c r="J59">
        <v>0.80960739816150717</v>
      </c>
      <c r="K59">
        <v>0.88</v>
      </c>
      <c r="L59">
        <f t="shared" si="12"/>
        <v>0.88</v>
      </c>
      <c r="M59">
        <f t="shared" si="22"/>
        <v>5.7599872000000003E-3</v>
      </c>
      <c r="N59">
        <v>2.5910140786119768E-2</v>
      </c>
      <c r="O59">
        <v>578.56671276115276</v>
      </c>
      <c r="P59">
        <f t="shared" si="23"/>
        <v>81.874758925771644</v>
      </c>
      <c r="Q59">
        <f t="shared" si="18"/>
        <v>0.35921849891080837</v>
      </c>
      <c r="R59">
        <f t="shared" si="24"/>
        <v>31.391859112789387</v>
      </c>
      <c r="S59">
        <f t="shared" si="19"/>
        <v>2.608152598786829</v>
      </c>
      <c r="T59">
        <v>2.5910140786119768E-2</v>
      </c>
      <c r="U59">
        <f t="shared" si="20"/>
        <v>8.2405128480426111</v>
      </c>
      <c r="V59">
        <f t="shared" si="21"/>
        <v>0.36877347147490935</v>
      </c>
    </row>
    <row r="60" spans="1:22" x14ac:dyDescent="0.3">
      <c r="A60">
        <v>2006</v>
      </c>
      <c r="B60">
        <v>365.06421024329597</v>
      </c>
      <c r="C60">
        <f t="shared" si="11"/>
        <v>3.6999999999999998E-2</v>
      </c>
      <c r="D60">
        <f t="shared" si="16"/>
        <v>26.408602503462987</v>
      </c>
      <c r="E60">
        <f t="shared" si="17"/>
        <v>0.30863461072031956</v>
      </c>
      <c r="F60">
        <v>6623518</v>
      </c>
      <c r="G60">
        <v>6.6235179999999998</v>
      </c>
      <c r="H60">
        <v>85.565913822264406</v>
      </c>
      <c r="I60">
        <v>8.2899999999999991</v>
      </c>
      <c r="J60">
        <v>0.82645699661526417</v>
      </c>
      <c r="K60">
        <v>0.84333333333333327</v>
      </c>
      <c r="L60">
        <f t="shared" si="12"/>
        <v>0.84333333333333327</v>
      </c>
      <c r="M60">
        <f t="shared" si="22"/>
        <v>5.2899882444444437E-3</v>
      </c>
      <c r="N60">
        <v>1.8196959822586366E-2</v>
      </c>
      <c r="O60">
        <v>575.64451115100724</v>
      </c>
      <c r="P60">
        <f t="shared" si="23"/>
        <v>86.021166007019815</v>
      </c>
      <c r="Q60">
        <f t="shared" si="18"/>
        <v>0.3531056530612624</v>
      </c>
      <c r="R60">
        <f t="shared" si="24"/>
        <v>32.036389289663958</v>
      </c>
      <c r="S60">
        <f t="shared" si="19"/>
        <v>2.6851080260400382</v>
      </c>
      <c r="T60">
        <v>1.8196959822586366E-2</v>
      </c>
      <c r="U60">
        <f t="shared" si="20"/>
        <v>8.4436487368199433</v>
      </c>
      <c r="V60">
        <f t="shared" si="21"/>
        <v>0.35965019317668395</v>
      </c>
    </row>
    <row r="61" spans="1:22" x14ac:dyDescent="0.3">
      <c r="A61">
        <v>2007</v>
      </c>
      <c r="B61">
        <v>377.965436967757</v>
      </c>
      <c r="C61">
        <f t="shared" si="11"/>
        <v>3.6999999999999998E-2</v>
      </c>
      <c r="D61">
        <f t="shared" si="16"/>
        <v>27.018696908041022</v>
      </c>
      <c r="E61">
        <f t="shared" si="17"/>
        <v>0.30113511290348105</v>
      </c>
      <c r="F61">
        <v>6705947</v>
      </c>
      <c r="G61">
        <v>6.7059470000000001</v>
      </c>
      <c r="H61">
        <v>89.722837856842602</v>
      </c>
      <c r="I61">
        <v>8.5410000000000004</v>
      </c>
      <c r="J61">
        <v>0.84501050508905018</v>
      </c>
      <c r="K61">
        <v>0.84</v>
      </c>
      <c r="L61">
        <f t="shared" si="12"/>
        <v>0.84</v>
      </c>
      <c r="M61">
        <f t="shared" si="22"/>
        <v>5.2482527999999995E-3</v>
      </c>
      <c r="N61">
        <v>1.2512510454485266E-2</v>
      </c>
      <c r="O61">
        <v>572.73706887986611</v>
      </c>
      <c r="P61">
        <f t="shared" si="23"/>
        <v>90.196288682231511</v>
      </c>
      <c r="Q61">
        <f t="shared" si="18"/>
        <v>0.34695689209843178</v>
      </c>
      <c r="R61">
        <f t="shared" si="24"/>
        <v>32.721472805608208</v>
      </c>
      <c r="S61">
        <f t="shared" si="19"/>
        <v>2.7564862137492958</v>
      </c>
      <c r="T61">
        <v>1.2512510454485266E-2</v>
      </c>
      <c r="U61">
        <f t="shared" si="20"/>
        <v>8.6492234994601755</v>
      </c>
      <c r="V61">
        <f t="shared" si="21"/>
        <v>0.35135320272069132</v>
      </c>
    </row>
    <row r="62" spans="1:22" x14ac:dyDescent="0.3">
      <c r="A62">
        <v>2008</v>
      </c>
      <c r="B62">
        <v>390.99941270799098</v>
      </c>
      <c r="C62">
        <f t="shared" si="11"/>
        <v>3.6999999999999998E-2</v>
      </c>
      <c r="D62">
        <f t="shared" si="16"/>
        <v>26.139481719581681</v>
      </c>
      <c r="E62">
        <f t="shared" si="17"/>
        <v>0.28452329381895097</v>
      </c>
      <c r="F62">
        <v>6789089</v>
      </c>
      <c r="G62">
        <v>6.7890889999999997</v>
      </c>
      <c r="H62">
        <v>91.871148294152903</v>
      </c>
      <c r="I62">
        <v>8.7189999999999994</v>
      </c>
      <c r="J62">
        <v>0.86526963795552114</v>
      </c>
      <c r="K62">
        <v>0.73999999999999988</v>
      </c>
      <c r="L62">
        <f t="shared" si="12"/>
        <v>0.73999999999999988</v>
      </c>
      <c r="M62">
        <f t="shared" si="22"/>
        <v>4.0730487999999987E-3</v>
      </c>
      <c r="N62">
        <v>1.4253918804628255E-2</v>
      </c>
      <c r="O62">
        <v>569.8443114018504</v>
      </c>
      <c r="P62">
        <f t="shared" si="23"/>
        <v>92.246985797373867</v>
      </c>
      <c r="Q62">
        <f t="shared" si="18"/>
        <v>0.34631392802548855</v>
      </c>
      <c r="R62">
        <f t="shared" si="24"/>
        <v>33.409418715926755</v>
      </c>
      <c r="S62">
        <f t="shared" si="19"/>
        <v>2.7611071770428137</v>
      </c>
      <c r="T62">
        <v>1.4253918804628255E-2</v>
      </c>
      <c r="U62">
        <f t="shared" si="20"/>
        <v>8.8450770095143003</v>
      </c>
      <c r="V62">
        <f t="shared" si="21"/>
        <v>0.3513216381296983</v>
      </c>
    </row>
    <row r="63" spans="1:22" x14ac:dyDescent="0.3">
      <c r="A63">
        <v>2009</v>
      </c>
      <c r="B63">
        <v>402.67191615737698</v>
      </c>
      <c r="C63">
        <f t="shared" si="11"/>
        <v>3.6999999999999998E-2</v>
      </c>
      <c r="D63">
        <f t="shared" si="16"/>
        <v>27.808253384118984</v>
      </c>
      <c r="E63">
        <f t="shared" si="17"/>
        <v>0.30439460498624588</v>
      </c>
      <c r="F63">
        <v>6872767</v>
      </c>
      <c r="G63">
        <v>6.8727669999999996</v>
      </c>
      <c r="H63">
        <v>91.355933806302204</v>
      </c>
      <c r="I63">
        <v>8.5869999999999997</v>
      </c>
      <c r="J63">
        <v>0.88705142008315008</v>
      </c>
      <c r="K63">
        <v>0.85333333333333339</v>
      </c>
      <c r="L63">
        <f t="shared" si="12"/>
        <v>0.85333333333333339</v>
      </c>
      <c r="M63">
        <f t="shared" si="22"/>
        <v>5.4161863111111125E-3</v>
      </c>
      <c r="N63">
        <v>4.9450172195639797E-2</v>
      </c>
      <c r="O63">
        <v>566.96616454759442</v>
      </c>
      <c r="P63">
        <f t="shared" si="23"/>
        <v>91.856206090018659</v>
      </c>
      <c r="Q63">
        <f t="shared" si="18"/>
        <v>0.34252196274214319</v>
      </c>
      <c r="R63">
        <f t="shared" si="24"/>
        <v>34.05021754657232</v>
      </c>
      <c r="S63">
        <f t="shared" si="19"/>
        <v>2.6976686996017563</v>
      </c>
      <c r="T63">
        <v>4.9450172195639797E-2</v>
      </c>
      <c r="U63">
        <f t="shared" si="20"/>
        <v>9.0337189580422024</v>
      </c>
      <c r="V63">
        <f t="shared" si="21"/>
        <v>0.36034088137527936</v>
      </c>
    </row>
    <row r="64" spans="1:22" x14ac:dyDescent="0.3">
      <c r="A64">
        <v>2010</v>
      </c>
      <c r="B64">
        <v>415.58130864367303</v>
      </c>
      <c r="C64">
        <f t="shared" si="11"/>
        <v>3.6999999999999998E-2</v>
      </c>
      <c r="D64">
        <f t="shared" si="16"/>
        <v>29.423284532576929</v>
      </c>
      <c r="E64">
        <f t="shared" si="17"/>
        <v>0.30623364395676478</v>
      </c>
      <c r="F64">
        <v>6956824</v>
      </c>
      <c r="G64">
        <v>6.9568240000000001</v>
      </c>
      <c r="H64">
        <v>96.0811625803304</v>
      </c>
      <c r="I64">
        <v>9.0429999999999993</v>
      </c>
      <c r="J64">
        <v>0.90988016463802623</v>
      </c>
      <c r="K64">
        <v>0.92333333333333334</v>
      </c>
      <c r="L64">
        <f t="shared" si="12"/>
        <v>0.92333333333333334</v>
      </c>
      <c r="M64">
        <f t="shared" si="22"/>
        <v>6.3412255777777777E-3</v>
      </c>
      <c r="N64">
        <v>2.0756778900467766E-2</v>
      </c>
      <c r="O64">
        <v>564.10255452234401</v>
      </c>
      <c r="P64">
        <f t="shared" si="23"/>
        <v>96.694627906659221</v>
      </c>
      <c r="Q64">
        <f t="shared" si="18"/>
        <v>0.34266176640117296</v>
      </c>
      <c r="R64">
        <f t="shared" si="24"/>
        <v>34.730540166425854</v>
      </c>
      <c r="S64">
        <f t="shared" si="19"/>
        <v>2.7841383244633291</v>
      </c>
      <c r="T64">
        <v>2.0756778900467766E-2</v>
      </c>
      <c r="U64">
        <f t="shared" si="20"/>
        <v>9.2346822578421008</v>
      </c>
      <c r="V64">
        <f t="shared" si="21"/>
        <v>0.34992508400152011</v>
      </c>
    </row>
    <row r="65" spans="1:22" x14ac:dyDescent="0.3">
      <c r="A65">
        <v>2011</v>
      </c>
      <c r="B65">
        <v>429.62808475643402</v>
      </c>
      <c r="C65">
        <f t="shared" si="11"/>
        <v>3.6999999999999998E-2</v>
      </c>
      <c r="D65">
        <f t="shared" si="16"/>
        <v>30.454413625539075</v>
      </c>
      <c r="E65">
        <f t="shared" si="17"/>
        <v>0.30550880167378802</v>
      </c>
      <c r="F65">
        <v>7041194</v>
      </c>
      <c r="G65">
        <v>7.041194</v>
      </c>
      <c r="H65">
        <v>99.684243002783504</v>
      </c>
      <c r="I65">
        <v>9.3369999999999997</v>
      </c>
      <c r="J65">
        <v>0.93311350852943609</v>
      </c>
      <c r="K65">
        <v>0.78666666666666663</v>
      </c>
      <c r="L65">
        <f t="shared" si="12"/>
        <v>0.78666666666666663</v>
      </c>
      <c r="M65">
        <f t="shared" si="22"/>
        <v>4.6029649777777773E-3</v>
      </c>
      <c r="N65">
        <v>1.7461219221452069E-2</v>
      </c>
      <c r="O65">
        <v>561.25340790406472</v>
      </c>
      <c r="P65">
        <f t="shared" si="23"/>
        <v>100.14540729694941</v>
      </c>
      <c r="Q65">
        <f t="shared" si="18"/>
        <v>0.34161095274752667</v>
      </c>
      <c r="R65">
        <f t="shared" si="24"/>
        <v>35.445751741123992</v>
      </c>
      <c r="S65">
        <f t="shared" si="19"/>
        <v>2.8253148086223598</v>
      </c>
      <c r="T65">
        <v>1.7461219221452069E-2</v>
      </c>
      <c r="U65">
        <f t="shared" si="20"/>
        <v>9.5029327927407721</v>
      </c>
      <c r="V65">
        <f t="shared" si="21"/>
        <v>0.3476819026693681</v>
      </c>
    </row>
    <row r="66" spans="1:22" x14ac:dyDescent="0.3">
      <c r="A66">
        <v>2012</v>
      </c>
      <c r="B66">
        <v>444.18625924598501</v>
      </c>
      <c r="C66">
        <f t="shared" si="11"/>
        <v>3.6999999999999998E-2</v>
      </c>
      <c r="D66">
        <f t="shared" si="16"/>
        <v>31.398167058638421</v>
      </c>
      <c r="E66">
        <f t="shared" si="17"/>
        <v>0.30745816481346938</v>
      </c>
      <c r="F66">
        <v>7125828</v>
      </c>
      <c r="G66">
        <v>7.1258280000000003</v>
      </c>
      <c r="H66">
        <v>102.12175395533001</v>
      </c>
      <c r="I66">
        <v>9.4870000000000001</v>
      </c>
      <c r="J66">
        <v>0.95643943160859612</v>
      </c>
      <c r="K66">
        <v>0.83333333333333337</v>
      </c>
      <c r="L66">
        <f t="shared" si="12"/>
        <v>0.83333333333333337</v>
      </c>
      <c r="M66">
        <f t="shared" si="22"/>
        <v>5.1652777777777782E-3</v>
      </c>
      <c r="N66">
        <v>2.8493809288139289E-2</v>
      </c>
      <c r="O66">
        <v>558.41865164155911</v>
      </c>
      <c r="P66">
        <f t="shared" si="23"/>
        <v>102.65270050815376</v>
      </c>
      <c r="Q66">
        <f t="shared" si="18"/>
        <v>0.33862107697048816</v>
      </c>
      <c r="R66">
        <f t="shared" si="24"/>
        <v>36.17452520325768</v>
      </c>
      <c r="S66">
        <f t="shared" si="19"/>
        <v>2.8377069203083671</v>
      </c>
      <c r="T66">
        <v>2.8493809288139289E-2</v>
      </c>
      <c r="U66">
        <f t="shared" si="20"/>
        <v>9.7652491468412599</v>
      </c>
      <c r="V66">
        <f t="shared" si="21"/>
        <v>0.34855267028444487</v>
      </c>
    </row>
    <row r="67" spans="1:22" x14ac:dyDescent="0.3">
      <c r="A67">
        <v>2013</v>
      </c>
      <c r="B67">
        <v>459.14953471252198</v>
      </c>
      <c r="C67">
        <f t="shared" si="11"/>
        <v>3.6999999999999998E-2</v>
      </c>
      <c r="D67">
        <f t="shared" si="16"/>
        <v>32.527888353102355</v>
      </c>
      <c r="E67">
        <f t="shared" si="17"/>
        <v>0.30840815110267777</v>
      </c>
      <c r="F67">
        <v>7210582</v>
      </c>
      <c r="G67">
        <v>7.2105819999999996</v>
      </c>
      <c r="H67">
        <v>105.47026152455</v>
      </c>
      <c r="I67">
        <v>9.5489999999999995</v>
      </c>
      <c r="J67">
        <v>0.97990149508502611</v>
      </c>
      <c r="K67">
        <v>0.87333333333333341</v>
      </c>
      <c r="L67">
        <f t="shared" si="12"/>
        <v>0.87333333333333341</v>
      </c>
      <c r="M67">
        <f t="shared" si="22"/>
        <v>5.6730452444444454E-3</v>
      </c>
      <c r="N67">
        <v>4.8708155563125931E-2</v>
      </c>
      <c r="O67">
        <v>555.59821305259402</v>
      </c>
      <c r="P67">
        <f t="shared" si="23"/>
        <v>106.07492314095958</v>
      </c>
      <c r="Q67">
        <f t="shared" si="18"/>
        <v>0.32983795758688578</v>
      </c>
      <c r="R67">
        <f t="shared" si="24"/>
        <v>36.912706923069891</v>
      </c>
      <c r="S67">
        <f t="shared" si="19"/>
        <v>2.8736695838111062</v>
      </c>
      <c r="T67">
        <v>4.8708155563125931E-2</v>
      </c>
      <c r="U67">
        <f t="shared" si="20"/>
        <v>10.037929007635524</v>
      </c>
      <c r="V67">
        <f t="shared" si="21"/>
        <v>0.34672635901986143</v>
      </c>
    </row>
    <row r="68" spans="1:22" x14ac:dyDescent="0.3">
      <c r="A68">
        <v>2014</v>
      </c>
      <c r="B68">
        <v>474.68889028126102</v>
      </c>
      <c r="C68">
        <f t="shared" si="11"/>
        <v>3.6999999999999998E-2</v>
      </c>
      <c r="D68">
        <f t="shared" si="16"/>
        <v>33.724332961641664</v>
      </c>
      <c r="E68">
        <f t="shared" si="17"/>
        <v>0.30918314468621994</v>
      </c>
      <c r="F68">
        <v>7295291</v>
      </c>
      <c r="G68">
        <v>7.2952909999999997</v>
      </c>
      <c r="H68">
        <v>109.075586885137</v>
      </c>
      <c r="I68">
        <v>9.6189999999999998</v>
      </c>
      <c r="J68">
        <v>1.0035671808615361</v>
      </c>
      <c r="K68">
        <v>0.93666666666666665</v>
      </c>
      <c r="L68">
        <f t="shared" si="12"/>
        <v>0.93666666666666665</v>
      </c>
      <c r="M68">
        <f t="shared" si="22"/>
        <v>6.5256879777777776E-3</v>
      </c>
      <c r="N68">
        <v>6.6852033857039708E-2</v>
      </c>
      <c r="O68">
        <v>552.79201982203642</v>
      </c>
      <c r="P68">
        <f t="shared" si="23"/>
        <v>109.7987054834321</v>
      </c>
      <c r="Q68">
        <f t="shared" si="18"/>
        <v>0.32098753664557633</v>
      </c>
      <c r="R68">
        <f t="shared" si="24"/>
        <v>37.664899385318549</v>
      </c>
      <c r="S68">
        <f t="shared" si="19"/>
        <v>2.9151466557808114</v>
      </c>
      <c r="T68">
        <v>6.6852033857039708E-2</v>
      </c>
      <c r="U68">
        <f t="shared" si="20"/>
        <v>10.308118700358769</v>
      </c>
      <c r="V68">
        <f t="shared" si="21"/>
        <v>0.34398353561475836</v>
      </c>
    </row>
    <row r="69" spans="1:22" x14ac:dyDescent="0.3">
      <c r="A69">
        <v>2015</v>
      </c>
      <c r="B69">
        <v>490.84973430249602</v>
      </c>
      <c r="C69">
        <f t="shared" ref="C69:C73" si="25">$C$1</f>
        <v>3.6999999999999998E-2</v>
      </c>
      <c r="D69">
        <f t="shared" si="16"/>
        <v>34.749889622711351</v>
      </c>
      <c r="E69">
        <f t="shared" si="17"/>
        <v>0.30959778893594792</v>
      </c>
      <c r="F69">
        <v>7379797</v>
      </c>
      <c r="G69">
        <v>7.3797969999999999</v>
      </c>
      <c r="H69">
        <v>112.242047148149</v>
      </c>
      <c r="I69">
        <v>9.61</v>
      </c>
      <c r="J69">
        <v>1.027434738287726</v>
      </c>
      <c r="K69">
        <v>1.1133333333333333</v>
      </c>
      <c r="L69">
        <f t="shared" si="12"/>
        <v>1.1133333333333333</v>
      </c>
      <c r="M69">
        <f t="shared" si="22"/>
        <v>9.2194836444444445E-3</v>
      </c>
      <c r="N69">
        <v>9.2651435930135334E-2</v>
      </c>
      <c r="O69">
        <v>550</v>
      </c>
      <c r="P69">
        <f t="shared" si="23"/>
        <v>113.30197491698311</v>
      </c>
      <c r="Q69">
        <f t="shared" si="18"/>
        <v>0.31077163505578159</v>
      </c>
      <c r="R69">
        <f t="shared" si="24"/>
        <v>38.43157567736489</v>
      </c>
      <c r="S69">
        <f t="shared" si="19"/>
        <v>2.9481480506591553</v>
      </c>
      <c r="T69">
        <v>9.2651435930135334E-2</v>
      </c>
      <c r="U69">
        <f t="shared" si="20"/>
        <v>10.591299066915195</v>
      </c>
      <c r="V69">
        <f t="shared" si="21"/>
        <v>0.34250523708532876</v>
      </c>
    </row>
    <row r="70" spans="1:22" x14ac:dyDescent="0.3">
      <c r="A70">
        <v>2016</v>
      </c>
      <c r="B70">
        <v>507.43818375601501</v>
      </c>
      <c r="C70">
        <f t="shared" si="25"/>
        <v>3.6999999999999998E-2</v>
      </c>
      <c r="D70">
        <f t="shared" si="16"/>
        <v>36.24527528769562</v>
      </c>
      <c r="E70">
        <f t="shared" si="17"/>
        <v>0.31402336729070524</v>
      </c>
      <c r="F70">
        <v>7464022</v>
      </c>
      <c r="G70">
        <v>7.4640219999999999</v>
      </c>
      <c r="H70">
        <v>115.422223512882</v>
      </c>
      <c r="I70">
        <v>9.6129999999999995</v>
      </c>
      <c r="J70">
        <v>1.051493091978716</v>
      </c>
      <c r="K70">
        <v>1.1833333333333333</v>
      </c>
      <c r="L70">
        <f t="shared" si="12"/>
        <v>1.1833333333333333</v>
      </c>
      <c r="M70">
        <f t="shared" si="22"/>
        <v>1.0415266111111111E-2</v>
      </c>
      <c r="N70">
        <v>0.11546717107599519</v>
      </c>
      <c r="O70">
        <v>547.222082</v>
      </c>
      <c r="P70">
        <f t="shared" si="23"/>
        <v>116.66437836180742</v>
      </c>
      <c r="Q70">
        <f t="shared" si="18"/>
        <v>0.30190905308531335</v>
      </c>
      <c r="R70">
        <f t="shared" si="24"/>
        <v>39.206118027343749</v>
      </c>
      <c r="S70">
        <f t="shared" si="19"/>
        <v>2.975667682284727</v>
      </c>
      <c r="T70">
        <v>0.11546717107599519</v>
      </c>
      <c r="U70">
        <f t="shared" si="20"/>
        <v>10.867883797703461</v>
      </c>
      <c r="V70">
        <f t="shared" si="21"/>
        <v>0.34132034811254253</v>
      </c>
    </row>
    <row r="71" spans="1:22" x14ac:dyDescent="0.3">
      <c r="A71">
        <v>2017</v>
      </c>
      <c r="B71">
        <v>524.90824624473805</v>
      </c>
      <c r="C71">
        <f t="shared" si="25"/>
        <v>3.6999999999999998E-2</v>
      </c>
      <c r="D71">
        <f t="shared" si="16"/>
        <v>37.872338560036269</v>
      </c>
      <c r="E71">
        <f t="shared" si="17"/>
        <v>0.31817804847649178</v>
      </c>
      <c r="F71">
        <v>7547859</v>
      </c>
      <c r="G71">
        <v>7.5478589999999999</v>
      </c>
      <c r="H71">
        <v>119.028759970644</v>
      </c>
      <c r="I71">
        <v>9.7420000000000009</v>
      </c>
      <c r="J71">
        <v>1.0757165335116061</v>
      </c>
      <c r="K71">
        <v>1.0833333333333333</v>
      </c>
      <c r="L71">
        <f t="shared" si="12"/>
        <v>1.0833333333333333</v>
      </c>
      <c r="M71">
        <f t="shared" si="22"/>
        <v>8.7293194444444441E-3</v>
      </c>
      <c r="N71">
        <v>0.12647165636326321</v>
      </c>
      <c r="O71">
        <v>544.45819459711765</v>
      </c>
      <c r="P71">
        <f t="shared" si="23"/>
        <v>120.11183069840666</v>
      </c>
      <c r="Q71">
        <f t="shared" si="18"/>
        <v>0.29717878574032519</v>
      </c>
      <c r="R71">
        <f t="shared" si="24"/>
        <v>40.001550798867889</v>
      </c>
      <c r="S71">
        <f t="shared" si="19"/>
        <v>3.002679353666609</v>
      </c>
      <c r="T71">
        <v>0.12647165636326321</v>
      </c>
      <c r="U71">
        <f t="shared" si="20"/>
        <v>11.152471549396322</v>
      </c>
      <c r="V71">
        <f t="shared" si="21"/>
        <v>0.34020508653799236</v>
      </c>
    </row>
    <row r="72" spans="1:22" x14ac:dyDescent="0.3">
      <c r="A72">
        <v>2018</v>
      </c>
      <c r="B72">
        <v>543.35897969371899</v>
      </c>
      <c r="C72">
        <f t="shared" si="25"/>
        <v>3.6999999999999998E-2</v>
      </c>
      <c r="D72">
        <f t="shared" si="16"/>
        <v>38.765950440847632</v>
      </c>
      <c r="E72">
        <f t="shared" si="17"/>
        <v>0.31761427164087425</v>
      </c>
      <c r="F72">
        <v>7631091</v>
      </c>
      <c r="G72">
        <v>7.6310909999999996</v>
      </c>
      <c r="H72">
        <v>122.053553326093</v>
      </c>
      <c r="I72">
        <v>9.94</v>
      </c>
      <c r="J72">
        <v>1.100134407600466</v>
      </c>
      <c r="K72">
        <v>1.0066666666666666</v>
      </c>
      <c r="L72">
        <f t="shared" si="12"/>
        <v>1.0066666666666666</v>
      </c>
      <c r="M72">
        <f t="shared" si="22"/>
        <v>7.5375039111111111E-3</v>
      </c>
      <c r="N72">
        <v>0.12974923551941558</v>
      </c>
      <c r="O72">
        <v>541.70826692617425</v>
      </c>
      <c r="P72">
        <f t="shared" si="23"/>
        <v>123.01831952139875</v>
      </c>
      <c r="Q72">
        <f t="shared" si="18"/>
        <v>0.29605476762885546</v>
      </c>
      <c r="R72">
        <f t="shared" si="24"/>
        <v>40.819304433484334</v>
      </c>
      <c r="S72">
        <f t="shared" si="19"/>
        <v>3.013728950767864</v>
      </c>
      <c r="T72">
        <v>0.12974923551941558</v>
      </c>
      <c r="U72">
        <f t="shared" si="20"/>
        <v>11.421995137151947</v>
      </c>
      <c r="V72">
        <f t="shared" si="21"/>
        <v>0.34019478030054695</v>
      </c>
    </row>
    <row r="73" spans="1:22" x14ac:dyDescent="0.3">
      <c r="A73">
        <v>2019</v>
      </c>
      <c r="B73">
        <v>562.02064788589905</v>
      </c>
      <c r="C73">
        <f t="shared" si="25"/>
        <v>3.6999999999999998E-2</v>
      </c>
      <c r="F73">
        <v>7713468</v>
      </c>
      <c r="G73">
        <v>7.7134679999999998</v>
      </c>
      <c r="H73">
        <v>124.91422970255699</v>
      </c>
      <c r="I73">
        <v>9.9456222159236809</v>
      </c>
      <c r="K73">
        <v>1.1366666666666667</v>
      </c>
      <c r="L73">
        <f t="shared" si="12"/>
        <v>1.1366666666666667</v>
      </c>
      <c r="M73">
        <f t="shared" si="22"/>
        <v>9.6099786444444456E-3</v>
      </c>
      <c r="N73">
        <v>0.14938161323502655</v>
      </c>
      <c r="O73">
        <v>538.97222847991418</v>
      </c>
      <c r="P73">
        <f t="shared" si="23"/>
        <v>126.18069423185659</v>
      </c>
      <c r="Q73">
        <f t="shared" si="18"/>
        <v>0.28879821925994953</v>
      </c>
      <c r="R73">
        <f t="shared" si="24"/>
        <v>41.635224669713082</v>
      </c>
      <c r="S73">
        <f t="shared" si="19"/>
        <v>3.0306235941521131</v>
      </c>
      <c r="T73">
        <v>0.14938161323502655</v>
      </c>
      <c r="U73">
        <f t="shared" si="20"/>
        <v>11.692225762657614</v>
      </c>
      <c r="V73">
        <f t="shared" si="21"/>
        <v>0.33951560858952456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7"/>
  <sheetViews>
    <sheetView topLeftCell="G3" workbookViewId="0">
      <selection activeCell="Q3" sqref="Q3"/>
    </sheetView>
  </sheetViews>
  <sheetFormatPr baseColWidth="10" defaultRowHeight="14.4" x14ac:dyDescent="0.3"/>
  <cols>
    <col min="4" max="5" width="12" bestFit="1" customWidth="1"/>
    <col min="13" max="14" width="12.5546875" customWidth="1"/>
  </cols>
  <sheetData>
    <row r="1" spans="1:23" x14ac:dyDescent="0.3">
      <c r="A1" t="s">
        <v>4</v>
      </c>
      <c r="B1" t="s">
        <v>5</v>
      </c>
      <c r="C1">
        <v>3.6999999999999998E-2</v>
      </c>
      <c r="J1" s="2" t="s">
        <v>23</v>
      </c>
      <c r="O1" t="s">
        <v>19</v>
      </c>
      <c r="P1">
        <v>2.6</v>
      </c>
      <c r="S1" t="s">
        <v>2</v>
      </c>
      <c r="T1">
        <v>0.39313300000000001</v>
      </c>
    </row>
    <row r="2" spans="1:23" x14ac:dyDescent="0.3">
      <c r="J2">
        <v>20.584700000000002</v>
      </c>
      <c r="K2">
        <v>6.0810000000000004</v>
      </c>
      <c r="L2">
        <v>0</v>
      </c>
      <c r="M2">
        <v>6.7539999999999996</v>
      </c>
      <c r="O2" s="1"/>
      <c r="P2" s="1"/>
      <c r="Q2" s="1"/>
      <c r="R2" s="1"/>
    </row>
    <row r="3" spans="1:23" x14ac:dyDescent="0.3">
      <c r="A3" t="s">
        <v>3</v>
      </c>
      <c r="B3" t="s">
        <v>0</v>
      </c>
      <c r="D3" t="s">
        <v>7</v>
      </c>
      <c r="E3" t="s">
        <v>6</v>
      </c>
      <c r="F3" t="s">
        <v>1</v>
      </c>
      <c r="H3" t="s">
        <v>16</v>
      </c>
      <c r="I3" t="s">
        <v>17</v>
      </c>
      <c r="J3" t="s">
        <v>9</v>
      </c>
      <c r="K3" t="s">
        <v>10</v>
      </c>
      <c r="L3" t="s">
        <v>8</v>
      </c>
      <c r="M3" t="s">
        <v>12</v>
      </c>
      <c r="N3" t="s">
        <v>29</v>
      </c>
      <c r="O3" t="s">
        <v>11</v>
      </c>
      <c r="P3" t="s">
        <v>18</v>
      </c>
      <c r="Q3" t="s">
        <v>28</v>
      </c>
      <c r="R3" t="s">
        <v>15</v>
      </c>
      <c r="S3" t="s">
        <v>21</v>
      </c>
      <c r="T3" t="s">
        <v>14</v>
      </c>
      <c r="U3" t="s">
        <v>24</v>
      </c>
      <c r="V3" t="s">
        <v>25</v>
      </c>
      <c r="W3" t="s">
        <v>15</v>
      </c>
    </row>
    <row r="4" spans="1:23" x14ac:dyDescent="0.3">
      <c r="A4">
        <v>1950</v>
      </c>
      <c r="B4">
        <v>60.137696392985902</v>
      </c>
      <c r="C4">
        <f>$C$1</f>
        <v>3.6999999999999998E-2</v>
      </c>
      <c r="D4">
        <f t="shared" ref="D4:D13" si="0">B5-(1-C4)*B4</f>
        <v>3.8255114858513792</v>
      </c>
      <c r="E4">
        <f t="shared" ref="E4:E13" si="1">D4/H4</f>
        <v>0.34718018248111943</v>
      </c>
      <c r="F4">
        <v>2536431</v>
      </c>
      <c r="G4">
        <f t="shared" ref="G4:G12" si="2">F4/10^6</f>
        <v>2.5364309999999999</v>
      </c>
      <c r="H4">
        <v>11.018807175318599</v>
      </c>
      <c r="I4">
        <v>1.6086959685</v>
      </c>
      <c r="J4">
        <v>0.17936417380448505</v>
      </c>
      <c r="K4">
        <v>7.6666666666666661E-2</v>
      </c>
      <c r="L4">
        <f t="shared" ref="L4:L13" si="3">MAX(0,K4-$L$2)</f>
        <v>7.6666666666666661E-2</v>
      </c>
      <c r="M4">
        <f t="shared" ref="M4:M13" si="4">0.00236*L4^2</f>
        <v>1.3871555555555554E-5</v>
      </c>
      <c r="N4">
        <f t="shared" ref="N4:N13" si="5">1-1/(1+(L4/$J$2)^2+(L4/$K$2)^$M$2)</f>
        <v>1.3871328569226016E-5</v>
      </c>
      <c r="O4">
        <v>0</v>
      </c>
      <c r="P4">
        <v>764.36816254357393</v>
      </c>
      <c r="Q4">
        <f t="shared" ref="Q4:Q13" si="6">(H4+I4*3.664*O4^$P$1*P4/(1000*$P$1))/(1-N4)</f>
        <v>11.01896002293357</v>
      </c>
      <c r="R4">
        <f t="shared" ref="R4:R13" si="7">I4*3.664/Q4</f>
        <v>0.53491999393013279</v>
      </c>
      <c r="S4">
        <f t="shared" ref="S4:S13" si="8">B4^$T$1*G4^(1-$T$1)</f>
        <v>8.8054376339073173</v>
      </c>
      <c r="T4">
        <f t="shared" ref="T4:T13" si="9">Q4/S4</f>
        <v>1.2513813033553933</v>
      </c>
      <c r="U4">
        <v>0</v>
      </c>
      <c r="V4">
        <f t="shared" ref="V4:V13" si="10">I4/(1-U4)</f>
        <v>1.6086959685</v>
      </c>
      <c r="W4">
        <f t="shared" ref="W4:W13" si="11">V4*3.664/Q4</f>
        <v>0.53491999393013279</v>
      </c>
    </row>
    <row r="5" spans="1:23" x14ac:dyDescent="0.3">
      <c r="A5">
        <v>1951</v>
      </c>
      <c r="B5">
        <v>61.738113112296801</v>
      </c>
      <c r="C5">
        <f t="shared" ref="C5:C68" si="12">$C$1</f>
        <v>3.6999999999999998E-2</v>
      </c>
      <c r="D5">
        <f t="shared" si="0"/>
        <v>3.7632228188446817</v>
      </c>
      <c r="E5">
        <f t="shared" si="1"/>
        <v>0.32348426619116</v>
      </c>
      <c r="F5">
        <v>2584034</v>
      </c>
      <c r="G5">
        <f t="shared" si="2"/>
        <v>2.5840339999999999</v>
      </c>
      <c r="H5">
        <v>11.633402956979801</v>
      </c>
      <c r="I5">
        <v>1.734959827</v>
      </c>
      <c r="J5">
        <v>0.18084093448841809</v>
      </c>
      <c r="K5">
        <v>0.20666666666666667</v>
      </c>
      <c r="L5">
        <f t="shared" si="3"/>
        <v>0.20666666666666667</v>
      </c>
      <c r="M5">
        <f t="shared" si="4"/>
        <v>1.0079822222222222E-4</v>
      </c>
      <c r="N5">
        <f t="shared" si="5"/>
        <v>1.0078793103751593E-4</v>
      </c>
      <c r="O5">
        <v>0</v>
      </c>
      <c r="P5">
        <v>760.50752240292536</v>
      </c>
      <c r="Q5">
        <f t="shared" si="6"/>
        <v>11.634575581781188</v>
      </c>
      <c r="R5">
        <f t="shared" si="7"/>
        <v>0.54637943270422207</v>
      </c>
      <c r="S5">
        <f t="shared" si="8"/>
        <v>8.9977888432389364</v>
      </c>
      <c r="T5">
        <f t="shared" si="9"/>
        <v>1.2930483015861802</v>
      </c>
      <c r="U5">
        <v>0</v>
      </c>
      <c r="V5">
        <f t="shared" si="10"/>
        <v>1.734959827</v>
      </c>
      <c r="W5">
        <f t="shared" si="11"/>
        <v>0.54637943270422207</v>
      </c>
    </row>
    <row r="6" spans="1:23" x14ac:dyDescent="0.3">
      <c r="A6">
        <v>1952</v>
      </c>
      <c r="B6">
        <v>63.217025745986497</v>
      </c>
      <c r="C6">
        <f t="shared" si="12"/>
        <v>3.6999999999999998E-2</v>
      </c>
      <c r="D6">
        <f t="shared" si="0"/>
        <v>3.9558424826363989</v>
      </c>
      <c r="E6">
        <f t="shared" si="1"/>
        <v>0.32773126613116699</v>
      </c>
      <c r="F6">
        <v>2630862</v>
      </c>
      <c r="G6">
        <f t="shared" si="2"/>
        <v>2.630862</v>
      </c>
      <c r="H6">
        <v>12.070384767784599</v>
      </c>
      <c r="I6">
        <v>1.7580555105</v>
      </c>
      <c r="J6">
        <v>0.18119531431390007</v>
      </c>
      <c r="K6">
        <v>0.27333333333333332</v>
      </c>
      <c r="L6">
        <f t="shared" si="3"/>
        <v>0.27333333333333332</v>
      </c>
      <c r="M6">
        <f t="shared" si="4"/>
        <v>1.7631822222222222E-4</v>
      </c>
      <c r="N6">
        <f t="shared" si="5"/>
        <v>1.7628749332521121E-4</v>
      </c>
      <c r="O6">
        <v>0</v>
      </c>
      <c r="P6">
        <v>756.66638142907357</v>
      </c>
      <c r="Q6">
        <f t="shared" si="6"/>
        <v>12.072513000839653</v>
      </c>
      <c r="R6">
        <f t="shared" si="7"/>
        <v>0.53356872674512656</v>
      </c>
      <c r="S6">
        <f t="shared" si="8"/>
        <v>9.1814431706518889</v>
      </c>
      <c r="T6">
        <f t="shared" si="9"/>
        <v>1.3148818520631866</v>
      </c>
      <c r="U6">
        <v>0</v>
      </c>
      <c r="V6">
        <f t="shared" si="10"/>
        <v>1.7580555105</v>
      </c>
      <c r="W6">
        <f t="shared" si="11"/>
        <v>0.53356872674512656</v>
      </c>
    </row>
    <row r="7" spans="1:23" x14ac:dyDescent="0.3">
      <c r="A7">
        <v>1953</v>
      </c>
      <c r="B7">
        <v>64.833838276021396</v>
      </c>
      <c r="C7">
        <f t="shared" si="12"/>
        <v>3.6999999999999998E-2</v>
      </c>
      <c r="D7">
        <f t="shared" si="0"/>
        <v>4.1665944256869025</v>
      </c>
      <c r="E7">
        <f t="shared" si="1"/>
        <v>0.32977079180915303</v>
      </c>
      <c r="F7">
        <v>2677609</v>
      </c>
      <c r="G7">
        <f t="shared" si="2"/>
        <v>2.6776089999999999</v>
      </c>
      <c r="H7">
        <v>12.634819484250199</v>
      </c>
      <c r="I7">
        <v>1.806907552</v>
      </c>
      <c r="J7">
        <v>0.18137520946322205</v>
      </c>
      <c r="K7">
        <v>0.35000000000000003</v>
      </c>
      <c r="L7">
        <f t="shared" si="3"/>
        <v>0.35000000000000003</v>
      </c>
      <c r="M7">
        <f t="shared" si="4"/>
        <v>2.8910000000000009E-4</v>
      </c>
      <c r="N7">
        <f t="shared" si="5"/>
        <v>2.890199432101781E-4</v>
      </c>
      <c r="O7">
        <v>0</v>
      </c>
      <c r="P7">
        <v>752.84464113640684</v>
      </c>
      <c r="Q7">
        <f t="shared" si="6"/>
        <v>12.63847225478354</v>
      </c>
      <c r="R7">
        <f t="shared" si="7"/>
        <v>0.52383778173997264</v>
      </c>
      <c r="S7">
        <f t="shared" si="8"/>
        <v>9.3726993445396936</v>
      </c>
      <c r="T7">
        <f t="shared" si="9"/>
        <v>1.3484346174132222</v>
      </c>
      <c r="U7">
        <v>0</v>
      </c>
      <c r="V7">
        <f t="shared" si="10"/>
        <v>1.806907552</v>
      </c>
      <c r="W7">
        <f t="shared" si="11"/>
        <v>0.52383778173997264</v>
      </c>
    </row>
    <row r="8" spans="1:23" x14ac:dyDescent="0.3">
      <c r="A8">
        <v>1954</v>
      </c>
      <c r="B8">
        <v>66.601580685495506</v>
      </c>
      <c r="C8">
        <f t="shared" si="12"/>
        <v>3.6999999999999998E-2</v>
      </c>
      <c r="D8">
        <f t="shared" si="0"/>
        <v>4.5111545331738228</v>
      </c>
      <c r="E8">
        <f t="shared" si="1"/>
        <v>0.34838259522888398</v>
      </c>
      <c r="F8">
        <v>2724847</v>
      </c>
      <c r="G8">
        <f t="shared" si="2"/>
        <v>2.724847</v>
      </c>
      <c r="H8">
        <v>12.9488516216203</v>
      </c>
      <c r="I8">
        <v>1.8452669865</v>
      </c>
      <c r="J8">
        <v>0.18200330961907407</v>
      </c>
      <c r="K8">
        <v>0.13</v>
      </c>
      <c r="L8">
        <f t="shared" si="3"/>
        <v>0.13</v>
      </c>
      <c r="M8">
        <f t="shared" si="4"/>
        <v>3.9884000000000006E-5</v>
      </c>
      <c r="N8">
        <f t="shared" si="5"/>
        <v>3.9882314769368321E-5</v>
      </c>
      <c r="O8">
        <v>0</v>
      </c>
      <c r="P8">
        <v>749.04220353674066</v>
      </c>
      <c r="Q8">
        <f t="shared" si="6"/>
        <v>12.949368072393828</v>
      </c>
      <c r="R8">
        <f t="shared" si="7"/>
        <v>0.52211491717110081</v>
      </c>
      <c r="S8">
        <f t="shared" si="8"/>
        <v>9.5734112094807262</v>
      </c>
      <c r="T8">
        <f t="shared" si="9"/>
        <v>1.3526388649815677</v>
      </c>
      <c r="U8">
        <v>0</v>
      </c>
      <c r="V8">
        <f t="shared" si="10"/>
        <v>1.8452669865</v>
      </c>
      <c r="W8">
        <f t="shared" si="11"/>
        <v>0.52211491717110081</v>
      </c>
    </row>
    <row r="9" spans="1:23" x14ac:dyDescent="0.3">
      <c r="A9">
        <v>1955</v>
      </c>
      <c r="B9">
        <v>68.648476733305998</v>
      </c>
      <c r="C9">
        <f t="shared" si="12"/>
        <v>3.6999999999999998E-2</v>
      </c>
      <c r="D9">
        <f t="shared" si="0"/>
        <v>4.6595402935009247</v>
      </c>
      <c r="E9">
        <f t="shared" si="1"/>
        <v>0.34130519242142204</v>
      </c>
      <c r="F9">
        <v>2773020</v>
      </c>
      <c r="G9">
        <f t="shared" si="2"/>
        <v>2.7730199999999998</v>
      </c>
      <c r="H9">
        <v>13.652122490265601</v>
      </c>
      <c r="I9">
        <v>2.0224472035000001</v>
      </c>
      <c r="J9">
        <v>0.18302297293406306</v>
      </c>
      <c r="K9">
        <v>9.6666666666666679E-2</v>
      </c>
      <c r="L9">
        <f t="shared" si="3"/>
        <v>9.6666666666666679E-2</v>
      </c>
      <c r="M9">
        <f t="shared" si="4"/>
        <v>2.2052888888888895E-5</v>
      </c>
      <c r="N9">
        <f t="shared" si="5"/>
        <v>2.205234808760892E-5</v>
      </c>
      <c r="O9">
        <v>0</v>
      </c>
      <c r="P9">
        <v>745.25897113680537</v>
      </c>
      <c r="Q9">
        <f t="shared" si="6"/>
        <v>13.652423558262146</v>
      </c>
      <c r="R9">
        <f t="shared" si="7"/>
        <v>0.5427788349812428</v>
      </c>
      <c r="S9">
        <f t="shared" si="8"/>
        <v>9.7916025543617966</v>
      </c>
      <c r="T9">
        <f t="shared" si="9"/>
        <v>1.3942991948933321</v>
      </c>
      <c r="U9">
        <v>0</v>
      </c>
      <c r="V9">
        <f t="shared" si="10"/>
        <v>2.0224472035000001</v>
      </c>
      <c r="W9">
        <f t="shared" si="11"/>
        <v>0.5427788349812428</v>
      </c>
    </row>
    <row r="10" spans="1:23" x14ac:dyDescent="0.3">
      <c r="A10">
        <v>1956</v>
      </c>
      <c r="B10">
        <v>70.768023387674603</v>
      </c>
      <c r="C10">
        <f t="shared" si="12"/>
        <v>3.6999999999999998E-2</v>
      </c>
      <c r="D10">
        <f t="shared" si="0"/>
        <v>4.8333846910828555</v>
      </c>
      <c r="E10">
        <f t="shared" si="1"/>
        <v>0.34114213810515942</v>
      </c>
      <c r="F10">
        <v>2822443</v>
      </c>
      <c r="G10">
        <f t="shared" si="2"/>
        <v>2.8224429999999998</v>
      </c>
      <c r="H10">
        <v>14.1682429439219</v>
      </c>
      <c r="I10">
        <v>2.1528965394999999</v>
      </c>
      <c r="J10">
        <v>0.18445054798044708</v>
      </c>
      <c r="K10">
        <v>3.3333333333333333E-2</v>
      </c>
      <c r="L10">
        <f t="shared" si="3"/>
        <v>3.3333333333333333E-2</v>
      </c>
      <c r="M10">
        <f t="shared" si="4"/>
        <v>2.6222222222222225E-6</v>
      </c>
      <c r="N10">
        <f t="shared" si="5"/>
        <v>2.6222087837757257E-6</v>
      </c>
      <c r="O10">
        <v>0</v>
      </c>
      <c r="P10">
        <v>741.49484693574641</v>
      </c>
      <c r="Q10">
        <f t="shared" si="6"/>
        <v>14.168280096110418</v>
      </c>
      <c r="R10">
        <f t="shared" si="7"/>
        <v>0.55675162173660941</v>
      </c>
      <c r="S10">
        <f t="shared" si="8"/>
        <v>10.016166752291893</v>
      </c>
      <c r="T10">
        <f t="shared" si="9"/>
        <v>1.4145411559635268</v>
      </c>
      <c r="U10">
        <v>0</v>
      </c>
      <c r="V10">
        <f t="shared" si="10"/>
        <v>2.1528965394999999</v>
      </c>
      <c r="W10">
        <f t="shared" si="11"/>
        <v>0.55675162173660941</v>
      </c>
    </row>
    <row r="11" spans="1:23" x14ac:dyDescent="0.3">
      <c r="A11">
        <v>1957</v>
      </c>
      <c r="B11">
        <v>72.982991213413499</v>
      </c>
      <c r="C11">
        <f t="shared" si="12"/>
        <v>3.6999999999999998E-2</v>
      </c>
      <c r="D11">
        <f t="shared" si="0"/>
        <v>4.8526070070648046</v>
      </c>
      <c r="E11">
        <f t="shared" si="1"/>
        <v>0.33057393317060135</v>
      </c>
      <c r="F11">
        <v>2873306</v>
      </c>
      <c r="G11">
        <f t="shared" si="2"/>
        <v>2.8733059999999999</v>
      </c>
      <c r="H11">
        <v>14.6793395369153</v>
      </c>
      <c r="I11">
        <v>2.2237669594999998</v>
      </c>
      <c r="J11">
        <v>0.18633425249196606</v>
      </c>
      <c r="K11">
        <v>0.28666666666666668</v>
      </c>
      <c r="L11">
        <f t="shared" si="3"/>
        <v>0.28666666666666668</v>
      </c>
      <c r="M11">
        <f t="shared" si="4"/>
        <v>1.9393955555555557E-4</v>
      </c>
      <c r="N11">
        <f t="shared" si="5"/>
        <v>1.9390256153761776E-4</v>
      </c>
      <c r="O11">
        <v>0</v>
      </c>
      <c r="P11">
        <v>737.74973442263718</v>
      </c>
      <c r="Q11">
        <f t="shared" si="6"/>
        <v>14.682186450477021</v>
      </c>
      <c r="R11">
        <f t="shared" si="7"/>
        <v>0.5549501885901521</v>
      </c>
      <c r="S11">
        <f t="shared" si="8"/>
        <v>10.248746631469508</v>
      </c>
      <c r="T11">
        <f t="shared" si="9"/>
        <v>1.4325836103113643</v>
      </c>
      <c r="U11">
        <v>0</v>
      </c>
      <c r="V11">
        <f t="shared" si="10"/>
        <v>2.2237669594999998</v>
      </c>
      <c r="W11">
        <f t="shared" si="11"/>
        <v>0.5549501885901521</v>
      </c>
    </row>
    <row r="12" spans="1:23" x14ac:dyDescent="0.3">
      <c r="A12">
        <v>1958</v>
      </c>
      <c r="B12">
        <v>75.135227545581998</v>
      </c>
      <c r="C12">
        <f t="shared" si="12"/>
        <v>3.6999999999999998E-2</v>
      </c>
      <c r="D12">
        <f t="shared" si="0"/>
        <v>5.1843400255578445</v>
      </c>
      <c r="E12">
        <f t="shared" si="1"/>
        <v>0.34457026890396336</v>
      </c>
      <c r="F12">
        <v>2925687</v>
      </c>
      <c r="G12">
        <f t="shared" si="2"/>
        <v>2.9256869999999999</v>
      </c>
      <c r="H12">
        <v>15.045813563801101</v>
      </c>
      <c r="I12">
        <v>2.2866228624999998</v>
      </c>
      <c r="J12">
        <v>0.18889815802519005</v>
      </c>
      <c r="K12">
        <v>0.32333333333333331</v>
      </c>
      <c r="L12">
        <f t="shared" si="3"/>
        <v>0.32333333333333331</v>
      </c>
      <c r="M12">
        <f t="shared" si="4"/>
        <v>2.4672488888888885E-4</v>
      </c>
      <c r="N12">
        <f t="shared" si="5"/>
        <v>2.4666588523547528E-4</v>
      </c>
      <c r="O12">
        <v>0</v>
      </c>
      <c r="P12">
        <v>734.02353757400465</v>
      </c>
      <c r="Q12">
        <f t="shared" si="6"/>
        <v>15.049525768397137</v>
      </c>
      <c r="R12">
        <f t="shared" si="7"/>
        <v>0.55670765292774571</v>
      </c>
      <c r="S12">
        <f t="shared" si="8"/>
        <v>10.480797457161811</v>
      </c>
      <c r="T12">
        <f t="shared" si="9"/>
        <v>1.435914187819114</v>
      </c>
      <c r="U12">
        <v>0</v>
      </c>
      <c r="V12">
        <f t="shared" si="10"/>
        <v>2.2866228624999998</v>
      </c>
      <c r="W12">
        <f t="shared" si="11"/>
        <v>0.55670765292774571</v>
      </c>
    </row>
    <row r="13" spans="1:23" x14ac:dyDescent="0.3">
      <c r="A13">
        <v>1959</v>
      </c>
      <c r="B13">
        <v>77.5395641519533</v>
      </c>
      <c r="C13">
        <f t="shared" si="12"/>
        <v>3.6999999999999998E-2</v>
      </c>
      <c r="D13">
        <f t="shared" si="0"/>
        <v>5.6379383980275719</v>
      </c>
      <c r="E13">
        <f t="shared" si="1"/>
        <v>0.35942985732780364</v>
      </c>
      <c r="F13">
        <v>2979576</v>
      </c>
      <c r="G13">
        <f>F13/10^6</f>
        <v>2.9795759999999998</v>
      </c>
      <c r="H13">
        <v>15.685782032530801</v>
      </c>
      <c r="I13">
        <v>2.415</v>
      </c>
      <c r="J13">
        <v>0.19275882652255805</v>
      </c>
      <c r="K13">
        <v>0.29000000000000004</v>
      </c>
      <c r="L13">
        <f t="shared" si="3"/>
        <v>0.29000000000000004</v>
      </c>
      <c r="M13">
        <f t="shared" si="4"/>
        <v>1.9847600000000006E-4</v>
      </c>
      <c r="N13">
        <f t="shared" si="5"/>
        <v>1.9843730402291371E-4</v>
      </c>
      <c r="O13">
        <v>0</v>
      </c>
      <c r="P13">
        <v>730.31616085136739</v>
      </c>
      <c r="Q13">
        <f t="shared" si="6"/>
        <v>15.688895294616163</v>
      </c>
      <c r="R13">
        <f t="shared" si="7"/>
        <v>0.5640014694365697</v>
      </c>
      <c r="S13">
        <f t="shared" si="8"/>
        <v>10.729579068546366</v>
      </c>
      <c r="T13">
        <f t="shared" si="9"/>
        <v>1.4622097655823212</v>
      </c>
      <c r="U13">
        <v>0</v>
      </c>
      <c r="V13">
        <f t="shared" si="10"/>
        <v>2.415</v>
      </c>
      <c r="W13">
        <f t="shared" si="11"/>
        <v>0.5640014694365697</v>
      </c>
    </row>
    <row r="14" spans="1:23" x14ac:dyDescent="0.3">
      <c r="A14">
        <v>1960</v>
      </c>
      <c r="B14">
        <v>80.308538676358594</v>
      </c>
      <c r="C14">
        <f t="shared" si="12"/>
        <v>3.6999999999999998E-2</v>
      </c>
      <c r="D14">
        <f>B15-(1-C14)*B14</f>
        <v>5.8257843888043794</v>
      </c>
      <c r="E14">
        <f>D14/H14</f>
        <v>0.35466297578869205</v>
      </c>
      <c r="F14">
        <v>3034950</v>
      </c>
      <c r="G14">
        <v>3.0349499999999998</v>
      </c>
      <c r="H14">
        <v>16.426254744660401</v>
      </c>
      <c r="I14">
        <v>2.548</v>
      </c>
      <c r="J14">
        <v>0.19819797409740808</v>
      </c>
      <c r="K14">
        <v>0.24333333333333332</v>
      </c>
      <c r="L14">
        <f t="shared" ref="L14:L73" si="13">MAX(0,K14-$L$2)</f>
        <v>0.24333333333333332</v>
      </c>
      <c r="M14">
        <f>0.00236*L14^2</f>
        <v>1.3973822222222221E-4</v>
      </c>
      <c r="N14">
        <f>1-1/(1+(L14/$J$2)^2+(L14/$K$2)^$M$2)</f>
        <v>1.397187110417919E-4</v>
      </c>
      <c r="O14">
        <v>0</v>
      </c>
      <c r="P14">
        <v>726.62750919878567</v>
      </c>
      <c r="Q14">
        <f>(H14+I14*3.664*O14^$P$1*P14/(1000*$P$1))/(1-N14)</f>
        <v>16.428550120507524</v>
      </c>
      <c r="R14">
        <f>I14*3.664/Q14</f>
        <v>0.56827120662012442</v>
      </c>
      <c r="S14">
        <f t="shared" ref="S14:S45" si="14">B14^$T$1*G14^(1-$T$1)</f>
        <v>11.000857766365446</v>
      </c>
      <c r="T14">
        <f>Q14/S14</f>
        <v>1.493388103856498</v>
      </c>
      <c r="U14">
        <v>0</v>
      </c>
      <c r="V14">
        <f>I14/(1-U14)</f>
        <v>2.548</v>
      </c>
      <c r="W14">
        <f>V14*3.664/Q14</f>
        <v>0.56827120662012442</v>
      </c>
    </row>
    <row r="15" spans="1:23" x14ac:dyDescent="0.3">
      <c r="A15">
        <v>1961</v>
      </c>
      <c r="B15">
        <v>83.162907134137697</v>
      </c>
      <c r="C15">
        <f t="shared" si="12"/>
        <v>3.6999999999999998E-2</v>
      </c>
      <c r="D15">
        <f t="shared" ref="D15:D72" si="15">B16-(1-C15)*B15</f>
        <v>6.0296889676300083</v>
      </c>
      <c r="E15">
        <f t="shared" ref="E15:E72" si="16">D15/H15</f>
        <v>0.35558845359282121</v>
      </c>
      <c r="F15">
        <v>3091844</v>
      </c>
      <c r="G15">
        <v>3.091844</v>
      </c>
      <c r="H15">
        <v>16.956931269018401</v>
      </c>
      <c r="I15">
        <v>2.5529999999999999</v>
      </c>
      <c r="J15">
        <v>0.20399596715249407</v>
      </c>
      <c r="K15">
        <v>0.31</v>
      </c>
      <c r="L15">
        <f t="shared" si="13"/>
        <v>0.31</v>
      </c>
      <c r="M15">
        <f t="shared" ref="M15:M73" si="17">0.00236*L15^2</f>
        <v>2.2679600000000003E-4</v>
      </c>
      <c r="N15">
        <f t="shared" ref="N15:N73" si="18">1-1/(1+(L15/$J$2)^2+(L15/$K$2)^$M$2)</f>
        <v>2.2674586777249317E-4</v>
      </c>
      <c r="O15">
        <v>0</v>
      </c>
      <c r="P15">
        <v>722.95748804042478</v>
      </c>
      <c r="Q15">
        <f t="shared" ref="Q15:Q73" si="19">(H15+I15*3.664*O15^$P$1*P15/(1000*$P$1))/(1-N15)</f>
        <v>16.960777055129864</v>
      </c>
      <c r="R15">
        <f t="shared" ref="R15:R73" si="20">I15*3.664/Q15</f>
        <v>0.55151907071208051</v>
      </c>
      <c r="S15">
        <f t="shared" si="14"/>
        <v>11.279363064505862</v>
      </c>
      <c r="T15">
        <f t="shared" ref="T15:T73" si="21">Q15/S15</f>
        <v>1.5036998949437486</v>
      </c>
      <c r="U15">
        <v>0</v>
      </c>
      <c r="V15">
        <f t="shared" ref="V15:V72" si="22">I15/(1-U15)</f>
        <v>2.5529999999999999</v>
      </c>
      <c r="W15">
        <f t="shared" ref="W15:W72" si="23">V15*3.664/Q15</f>
        <v>0.55151907071208051</v>
      </c>
    </row>
    <row r="16" spans="1:23" x14ac:dyDescent="0.3">
      <c r="A16">
        <v>1962</v>
      </c>
      <c r="B16">
        <v>86.115568537804606</v>
      </c>
      <c r="C16">
        <f t="shared" si="12"/>
        <v>3.6999999999999998E-2</v>
      </c>
      <c r="D16">
        <f t="shared" si="15"/>
        <v>6.2971838074768698</v>
      </c>
      <c r="E16">
        <f t="shared" si="16"/>
        <v>0.35487718350573683</v>
      </c>
      <c r="F16">
        <v>3150421</v>
      </c>
      <c r="G16">
        <v>3.1504210000000001</v>
      </c>
      <c r="H16">
        <v>17.7446849224531</v>
      </c>
      <c r="I16">
        <v>2.6440000000000001</v>
      </c>
      <c r="J16">
        <v>0.20901795356651709</v>
      </c>
      <c r="K16">
        <v>0.30000000000000004</v>
      </c>
      <c r="L16">
        <f t="shared" si="13"/>
        <v>0.30000000000000004</v>
      </c>
      <c r="M16">
        <f t="shared" si="17"/>
        <v>2.1240000000000007E-4</v>
      </c>
      <c r="N16">
        <f t="shared" si="18"/>
        <v>2.1235585491863329E-4</v>
      </c>
      <c r="O16">
        <v>0</v>
      </c>
      <c r="P16">
        <v>719.30600327812965</v>
      </c>
      <c r="Q16">
        <f t="shared" si="19"/>
        <v>17.748453910556762</v>
      </c>
      <c r="R16">
        <f t="shared" si="20"/>
        <v>0.54582872676238103</v>
      </c>
      <c r="S16">
        <f t="shared" si="14"/>
        <v>11.566125936865351</v>
      </c>
      <c r="T16">
        <f t="shared" si="21"/>
        <v>1.5345202021349376</v>
      </c>
      <c r="U16">
        <v>0</v>
      </c>
      <c r="V16">
        <f t="shared" si="22"/>
        <v>2.6440000000000001</v>
      </c>
      <c r="W16">
        <f t="shared" si="23"/>
        <v>0.54582872676238103</v>
      </c>
    </row>
    <row r="17" spans="1:23" x14ac:dyDescent="0.3">
      <c r="A17">
        <v>1963</v>
      </c>
      <c r="B17">
        <v>89.226476309382704</v>
      </c>
      <c r="C17">
        <f t="shared" si="12"/>
        <v>3.6999999999999998E-2</v>
      </c>
      <c r="D17">
        <f t="shared" si="15"/>
        <v>6.8668256393275584</v>
      </c>
      <c r="E17">
        <f t="shared" si="16"/>
        <v>0.36894511117532341</v>
      </c>
      <c r="F17">
        <v>3211001</v>
      </c>
      <c r="G17">
        <v>3.211001</v>
      </c>
      <c r="H17">
        <v>18.6120521219332</v>
      </c>
      <c r="I17">
        <v>2.794</v>
      </c>
      <c r="J17">
        <v>0.21392406699756705</v>
      </c>
      <c r="K17">
        <v>0.32</v>
      </c>
      <c r="L17">
        <f t="shared" si="13"/>
        <v>0.32</v>
      </c>
      <c r="M17">
        <f t="shared" si="17"/>
        <v>2.4166400000000002E-4</v>
      </c>
      <c r="N17">
        <f t="shared" si="18"/>
        <v>2.4160731272038216E-4</v>
      </c>
      <c r="O17">
        <v>0</v>
      </c>
      <c r="P17">
        <v>715.67296128901262</v>
      </c>
      <c r="Q17">
        <f t="shared" si="19"/>
        <v>18.616550016554825</v>
      </c>
      <c r="R17">
        <f t="shared" si="20"/>
        <v>0.54989866494578876</v>
      </c>
      <c r="S17">
        <f t="shared" si="14"/>
        <v>11.864974818024349</v>
      </c>
      <c r="T17">
        <f t="shared" si="21"/>
        <v>1.5690340942210856</v>
      </c>
      <c r="U17">
        <v>0</v>
      </c>
      <c r="V17">
        <f t="shared" si="22"/>
        <v>2.794</v>
      </c>
      <c r="W17">
        <f t="shared" si="23"/>
        <v>0.54989866494578876</v>
      </c>
    </row>
    <row r="18" spans="1:23" x14ac:dyDescent="0.3">
      <c r="A18">
        <v>1964</v>
      </c>
      <c r="B18">
        <v>92.791922325263101</v>
      </c>
      <c r="C18">
        <f t="shared" si="12"/>
        <v>3.6999999999999998E-2</v>
      </c>
      <c r="D18">
        <f t="shared" si="15"/>
        <v>7.1964041990486294</v>
      </c>
      <c r="E18">
        <f t="shared" si="16"/>
        <v>0.36531560274041214</v>
      </c>
      <c r="F18">
        <v>3273978</v>
      </c>
      <c r="G18">
        <v>3.2739780000000001</v>
      </c>
      <c r="H18">
        <v>19.699142727725999</v>
      </c>
      <c r="I18">
        <v>2.9390000000000001</v>
      </c>
      <c r="J18">
        <v>0.21946979682425205</v>
      </c>
      <c r="K18">
        <v>0.06</v>
      </c>
      <c r="L18">
        <f t="shared" si="13"/>
        <v>0.06</v>
      </c>
      <c r="M18">
        <f t="shared" si="17"/>
        <v>8.4959999999999996E-6</v>
      </c>
      <c r="N18">
        <f t="shared" si="18"/>
        <v>8.4959065832501679E-6</v>
      </c>
      <c r="O18">
        <v>0</v>
      </c>
      <c r="P18">
        <v>712.05826892305254</v>
      </c>
      <c r="Q18">
        <f t="shared" si="19"/>
        <v>19.699310091224287</v>
      </c>
      <c r="R18">
        <f t="shared" si="20"/>
        <v>0.54664330629513702</v>
      </c>
      <c r="S18">
        <f t="shared" si="14"/>
        <v>12.192019698805225</v>
      </c>
      <c r="T18">
        <f t="shared" si="21"/>
        <v>1.6157544506883261</v>
      </c>
      <c r="U18">
        <v>0</v>
      </c>
      <c r="V18">
        <f t="shared" si="22"/>
        <v>2.9390000000000001</v>
      </c>
      <c r="W18">
        <f t="shared" si="23"/>
        <v>0.54664330629513702</v>
      </c>
    </row>
    <row r="19" spans="1:23" x14ac:dyDescent="0.3">
      <c r="A19">
        <v>1965</v>
      </c>
      <c r="B19">
        <v>96.555025398276996</v>
      </c>
      <c r="C19">
        <f t="shared" si="12"/>
        <v>3.6999999999999998E-2</v>
      </c>
      <c r="D19">
        <f t="shared" si="15"/>
        <v>7.5171919568762604</v>
      </c>
      <c r="E19">
        <f t="shared" si="16"/>
        <v>0.36386000101866106</v>
      </c>
      <c r="F19">
        <v>3339584</v>
      </c>
      <c r="G19">
        <v>3.3395839999999999</v>
      </c>
      <c r="H19">
        <v>20.659572186640901</v>
      </c>
      <c r="I19">
        <v>3.0760000000000001</v>
      </c>
      <c r="J19">
        <v>0.22580623153550106</v>
      </c>
      <c r="K19">
        <v>0.14333333333333334</v>
      </c>
      <c r="L19">
        <f t="shared" si="13"/>
        <v>0.14333333333333334</v>
      </c>
      <c r="M19">
        <f t="shared" si="17"/>
        <v>4.8484888888888892E-5</v>
      </c>
      <c r="N19">
        <f t="shared" si="18"/>
        <v>4.8482427041474097E-5</v>
      </c>
      <c r="O19">
        <v>0</v>
      </c>
      <c r="P19">
        <v>708.46183350070669</v>
      </c>
      <c r="Q19">
        <f t="shared" si="19"/>
        <v>20.660573861405773</v>
      </c>
      <c r="R19">
        <f t="shared" si="20"/>
        <v>0.54550585456163814</v>
      </c>
      <c r="S19">
        <f t="shared" si="14"/>
        <v>12.534070189441067</v>
      </c>
      <c r="T19">
        <f t="shared" si="21"/>
        <v>1.6483531326328955</v>
      </c>
      <c r="U19">
        <v>0</v>
      </c>
      <c r="V19">
        <f t="shared" si="22"/>
        <v>3.0760000000000001</v>
      </c>
      <c r="W19">
        <f t="shared" si="23"/>
        <v>0.54550585456163814</v>
      </c>
    </row>
    <row r="20" spans="1:23" x14ac:dyDescent="0.3">
      <c r="A20">
        <v>1966</v>
      </c>
      <c r="B20">
        <v>100.499681415417</v>
      </c>
      <c r="C20">
        <f t="shared" si="12"/>
        <v>3.6999999999999998E-2</v>
      </c>
      <c r="D20">
        <f t="shared" si="15"/>
        <v>7.6202962801464338</v>
      </c>
      <c r="E20">
        <f t="shared" si="16"/>
        <v>0.35256830976719644</v>
      </c>
      <c r="F20">
        <v>3407923</v>
      </c>
      <c r="G20">
        <v>3.4079229999999998</v>
      </c>
      <c r="H20">
        <v>21.6136733479483</v>
      </c>
      <c r="I20">
        <v>3.2189999999999999</v>
      </c>
      <c r="J20">
        <v>0.23300931765481908</v>
      </c>
      <c r="K20">
        <v>0.20333333333333334</v>
      </c>
      <c r="L20">
        <f t="shared" si="13"/>
        <v>0.20333333333333334</v>
      </c>
      <c r="M20">
        <f t="shared" si="17"/>
        <v>9.7572888888888907E-5</v>
      </c>
      <c r="N20">
        <f t="shared" si="18"/>
        <v>9.7563232979380743E-5</v>
      </c>
      <c r="O20">
        <v>0</v>
      </c>
      <c r="P20">
        <v>704.88356281053461</v>
      </c>
      <c r="Q20">
        <f t="shared" si="19"/>
        <v>21.615782253548335</v>
      </c>
      <c r="R20">
        <f t="shared" si="20"/>
        <v>0.54563910117404557</v>
      </c>
      <c r="S20">
        <f t="shared" si="14"/>
        <v>12.890432247535603</v>
      </c>
      <c r="T20">
        <f t="shared" si="21"/>
        <v>1.6768857582476218</v>
      </c>
      <c r="U20">
        <v>0</v>
      </c>
      <c r="V20">
        <f t="shared" si="22"/>
        <v>3.2189999999999999</v>
      </c>
      <c r="W20">
        <f t="shared" si="23"/>
        <v>0.54563910117404557</v>
      </c>
    </row>
    <row r="21" spans="1:23" x14ac:dyDescent="0.3">
      <c r="A21">
        <v>1967</v>
      </c>
      <c r="B21">
        <v>104.401489483193</v>
      </c>
      <c r="C21">
        <f t="shared" si="12"/>
        <v>3.6999999999999998E-2</v>
      </c>
      <c r="D21">
        <f t="shared" si="15"/>
        <v>8.0873765219981379</v>
      </c>
      <c r="E21">
        <f t="shared" si="16"/>
        <v>0.36108513958599381</v>
      </c>
      <c r="F21">
        <v>3478770</v>
      </c>
      <c r="G21">
        <v>3.4787699999999999</v>
      </c>
      <c r="H21">
        <v>22.397422755394501</v>
      </c>
      <c r="I21">
        <v>3.3220000000000001</v>
      </c>
      <c r="J21">
        <v>0.24092096073839209</v>
      </c>
      <c r="K21">
        <v>0.21666666666666667</v>
      </c>
      <c r="L21">
        <f t="shared" si="13"/>
        <v>0.21666666666666667</v>
      </c>
      <c r="M21">
        <f t="shared" si="17"/>
        <v>1.1078888888888891E-4</v>
      </c>
      <c r="N21">
        <f t="shared" si="18"/>
        <v>1.1077650437463227E-4</v>
      </c>
      <c r="O21">
        <v>0</v>
      </c>
      <c r="P21">
        <v>701.32336510683365</v>
      </c>
      <c r="Q21">
        <f t="shared" si="19"/>
        <v>22.399904138473289</v>
      </c>
      <c r="R21">
        <f t="shared" si="20"/>
        <v>0.54338661115491693</v>
      </c>
      <c r="S21">
        <f t="shared" si="14"/>
        <v>13.24932090732033</v>
      </c>
      <c r="T21">
        <f t="shared" si="21"/>
        <v>1.6906454523338783</v>
      </c>
      <c r="U21">
        <v>0</v>
      </c>
      <c r="V21">
        <f t="shared" si="22"/>
        <v>3.3220000000000001</v>
      </c>
      <c r="W21">
        <f t="shared" si="23"/>
        <v>0.54338661115491693</v>
      </c>
    </row>
    <row r="22" spans="1:23" x14ac:dyDescent="0.3">
      <c r="A22">
        <v>1968</v>
      </c>
      <c r="B22">
        <v>108.626010894313</v>
      </c>
      <c r="C22">
        <f t="shared" si="12"/>
        <v>3.6999999999999998E-2</v>
      </c>
      <c r="D22">
        <f t="shared" si="15"/>
        <v>8.6501723046055901</v>
      </c>
      <c r="E22">
        <f t="shared" si="16"/>
        <v>0.36720854157933774</v>
      </c>
      <c r="F22">
        <v>3551599</v>
      </c>
      <c r="G22">
        <v>3.551599</v>
      </c>
      <c r="H22">
        <v>23.556566161020701</v>
      </c>
      <c r="I22">
        <v>3.5030000000000001</v>
      </c>
      <c r="J22">
        <v>0.24945799577720107</v>
      </c>
      <c r="K22">
        <v>0.17333333333333334</v>
      </c>
      <c r="L22">
        <f t="shared" si="13"/>
        <v>0.17333333333333334</v>
      </c>
      <c r="M22">
        <f t="shared" si="17"/>
        <v>7.0904888888888897E-5</v>
      </c>
      <c r="N22">
        <f t="shared" si="18"/>
        <v>7.0899720979178404E-5</v>
      </c>
      <c r="O22">
        <v>0</v>
      </c>
      <c r="P22">
        <v>697.78114910728664</v>
      </c>
      <c r="Q22">
        <f t="shared" si="19"/>
        <v>23.558236433410592</v>
      </c>
      <c r="R22">
        <f t="shared" si="20"/>
        <v>0.5448197294512781</v>
      </c>
      <c r="S22">
        <f t="shared" si="14"/>
        <v>13.627835761300636</v>
      </c>
      <c r="T22">
        <f t="shared" si="21"/>
        <v>1.7286850858820595</v>
      </c>
      <c r="U22">
        <v>0</v>
      </c>
      <c r="V22">
        <f t="shared" si="22"/>
        <v>3.5030000000000001</v>
      </c>
      <c r="W22">
        <f t="shared" si="23"/>
        <v>0.5448197294512781</v>
      </c>
    </row>
    <row r="23" spans="1:23" x14ac:dyDescent="0.3">
      <c r="A23">
        <v>1969</v>
      </c>
      <c r="B23">
        <v>113.25702079582901</v>
      </c>
      <c r="C23">
        <f t="shared" si="12"/>
        <v>3.6999999999999998E-2</v>
      </c>
      <c r="D23">
        <f t="shared" si="15"/>
        <v>9.2635440706606715</v>
      </c>
      <c r="E23">
        <f t="shared" si="16"/>
        <v>0.37263600572608641</v>
      </c>
      <c r="F23">
        <v>3625681</v>
      </c>
      <c r="G23">
        <v>3.6256810000000002</v>
      </c>
      <c r="H23">
        <v>24.8594980847611</v>
      </c>
      <c r="I23">
        <v>3.7370000000000001</v>
      </c>
      <c r="J23">
        <v>0.25898328487018207</v>
      </c>
      <c r="K23">
        <v>0.3133333333333333</v>
      </c>
      <c r="L23">
        <f t="shared" si="13"/>
        <v>0.3133333333333333</v>
      </c>
      <c r="M23">
        <f t="shared" si="17"/>
        <v>2.316995555555555E-4</v>
      </c>
      <c r="N23">
        <f t="shared" si="18"/>
        <v>2.3164730288582902E-4</v>
      </c>
      <c r="O23">
        <v>0</v>
      </c>
      <c r="P23">
        <v>694.25682399062146</v>
      </c>
      <c r="Q23">
        <f t="shared" si="19"/>
        <v>24.865258054725036</v>
      </c>
      <c r="R23">
        <f t="shared" si="20"/>
        <v>0.55066261407241257</v>
      </c>
      <c r="S23">
        <f t="shared" si="14"/>
        <v>14.028003670147447</v>
      </c>
      <c r="T23">
        <f t="shared" si="21"/>
        <v>1.7725443077577752</v>
      </c>
      <c r="U23">
        <v>0</v>
      </c>
      <c r="V23">
        <f t="shared" si="22"/>
        <v>3.7370000000000001</v>
      </c>
      <c r="W23">
        <f t="shared" si="23"/>
        <v>0.55066261407241257</v>
      </c>
    </row>
    <row r="24" spans="1:23" x14ac:dyDescent="0.3">
      <c r="A24">
        <v>1970</v>
      </c>
      <c r="B24">
        <v>118.330055097044</v>
      </c>
      <c r="C24">
        <f t="shared" si="12"/>
        <v>3.6999999999999998E-2</v>
      </c>
      <c r="D24">
        <f t="shared" si="15"/>
        <v>9.5942981417866378</v>
      </c>
      <c r="E24">
        <f t="shared" si="16"/>
        <v>0.37265414043536316</v>
      </c>
      <c r="F24">
        <v>3700437</v>
      </c>
      <c r="G24">
        <v>3.700437</v>
      </c>
      <c r="H24">
        <v>25.7458514497594</v>
      </c>
      <c r="I24">
        <v>4.0469999999999997</v>
      </c>
      <c r="J24">
        <v>0.27030705835588709</v>
      </c>
      <c r="K24">
        <v>0.26666666666666666</v>
      </c>
      <c r="L24">
        <f t="shared" si="13"/>
        <v>0.26666666666666666</v>
      </c>
      <c r="M24">
        <f t="shared" si="17"/>
        <v>1.6782222222222224E-4</v>
      </c>
      <c r="N24">
        <f t="shared" si="18"/>
        <v>1.6779431554792001E-4</v>
      </c>
      <c r="O24">
        <v>0</v>
      </c>
      <c r="P24">
        <v>690.75029939428259</v>
      </c>
      <c r="Q24">
        <f t="shared" si="19"/>
        <v>25.750172182275964</v>
      </c>
      <c r="R24">
        <f t="shared" si="20"/>
        <v>0.5758488873408919</v>
      </c>
      <c r="S24">
        <f t="shared" si="14"/>
        <v>14.449608658264546</v>
      </c>
      <c r="T24">
        <f t="shared" si="21"/>
        <v>1.7820670989278307</v>
      </c>
      <c r="U24">
        <v>0</v>
      </c>
      <c r="V24">
        <f t="shared" si="22"/>
        <v>4.0469999999999997</v>
      </c>
      <c r="W24">
        <f t="shared" si="23"/>
        <v>0.5758488873408919</v>
      </c>
    </row>
    <row r="25" spans="1:23" x14ac:dyDescent="0.3">
      <c r="A25">
        <v>1971</v>
      </c>
      <c r="B25">
        <v>123.54614120024</v>
      </c>
      <c r="C25">
        <f t="shared" si="12"/>
        <v>3.6999999999999998E-2</v>
      </c>
      <c r="D25">
        <f t="shared" si="15"/>
        <v>10.092095550967869</v>
      </c>
      <c r="E25">
        <f t="shared" si="16"/>
        <v>0.37493438166694137</v>
      </c>
      <c r="F25">
        <v>3775760</v>
      </c>
      <c r="G25">
        <v>3.77576</v>
      </c>
      <c r="H25">
        <v>26.9169647928762</v>
      </c>
      <c r="I25">
        <v>4.21</v>
      </c>
      <c r="J25">
        <v>0.28395692299753406</v>
      </c>
      <c r="K25">
        <v>0.13666666666666669</v>
      </c>
      <c r="L25">
        <f t="shared" si="13"/>
        <v>0.13666666666666669</v>
      </c>
      <c r="M25">
        <f t="shared" si="17"/>
        <v>4.4079555555555568E-5</v>
      </c>
      <c r="N25">
        <f t="shared" si="18"/>
        <v>4.4077509685935823E-5</v>
      </c>
      <c r="O25">
        <v>0</v>
      </c>
      <c r="P25">
        <v>687.26148541211387</v>
      </c>
      <c r="Q25">
        <f t="shared" si="19"/>
        <v>26.918151277949882</v>
      </c>
      <c r="R25">
        <f t="shared" si="20"/>
        <v>0.57304975519012757</v>
      </c>
      <c r="S25">
        <f t="shared" si="14"/>
        <v>14.87756995375517</v>
      </c>
      <c r="T25">
        <f t="shared" si="21"/>
        <v>1.8093110206586938</v>
      </c>
      <c r="U25">
        <v>0</v>
      </c>
      <c r="V25">
        <f t="shared" si="22"/>
        <v>4.21</v>
      </c>
      <c r="W25">
        <f t="shared" si="23"/>
        <v>0.57304975519012757</v>
      </c>
    </row>
    <row r="26" spans="1:23" x14ac:dyDescent="0.3">
      <c r="A26">
        <v>1972</v>
      </c>
      <c r="B26">
        <v>129.06702952679899</v>
      </c>
      <c r="C26">
        <f t="shared" si="12"/>
        <v>3.6999999999999998E-2</v>
      </c>
      <c r="D26">
        <f t="shared" si="15"/>
        <v>10.723194404733562</v>
      </c>
      <c r="E26">
        <f t="shared" si="16"/>
        <v>0.37892603562553473</v>
      </c>
      <c r="F26">
        <v>3851651</v>
      </c>
      <c r="G26">
        <v>3.8516509999999999</v>
      </c>
      <c r="H26">
        <v>28.298911651799301</v>
      </c>
      <c r="I26">
        <v>4.4059999999999997</v>
      </c>
      <c r="J26">
        <v>0.29904909004258506</v>
      </c>
      <c r="K26">
        <v>0.24333333333333332</v>
      </c>
      <c r="L26">
        <f t="shared" si="13"/>
        <v>0.24333333333333332</v>
      </c>
      <c r="M26">
        <f t="shared" si="17"/>
        <v>1.3973822222222221E-4</v>
      </c>
      <c r="N26">
        <f t="shared" si="18"/>
        <v>1.397187110417919E-4</v>
      </c>
      <c r="O26">
        <v>0</v>
      </c>
      <c r="P26">
        <v>683.79029259205379</v>
      </c>
      <c r="Q26">
        <f t="shared" si="19"/>
        <v>28.302866091768433</v>
      </c>
      <c r="R26">
        <f t="shared" si="20"/>
        <v>0.57038689819103439</v>
      </c>
      <c r="S26">
        <f t="shared" si="14"/>
        <v>15.319371631356301</v>
      </c>
      <c r="T26">
        <f t="shared" si="21"/>
        <v>1.8475213457082664</v>
      </c>
      <c r="U26">
        <v>0</v>
      </c>
      <c r="V26">
        <f t="shared" si="22"/>
        <v>4.4059999999999997</v>
      </c>
      <c r="W26">
        <f t="shared" si="23"/>
        <v>0.57038689819103439</v>
      </c>
    </row>
    <row r="27" spans="1:23" x14ac:dyDescent="0.3">
      <c r="A27">
        <v>1973</v>
      </c>
      <c r="B27">
        <v>135.01474383904099</v>
      </c>
      <c r="C27">
        <f t="shared" si="12"/>
        <v>3.6999999999999998E-2</v>
      </c>
      <c r="D27">
        <f t="shared" si="15"/>
        <v>10.628154856102526</v>
      </c>
      <c r="E27">
        <f t="shared" si="16"/>
        <v>0.35391254459383387</v>
      </c>
      <c r="F27">
        <v>3927781</v>
      </c>
      <c r="G27">
        <v>3.927781</v>
      </c>
      <c r="H27">
        <v>30.0304553157331</v>
      </c>
      <c r="I27">
        <v>4.6399999999999997</v>
      </c>
      <c r="J27">
        <v>0.31429247822931705</v>
      </c>
      <c r="K27">
        <v>0.38666666666666671</v>
      </c>
      <c r="L27">
        <f t="shared" si="13"/>
        <v>0.38666666666666671</v>
      </c>
      <c r="M27">
        <f t="shared" si="17"/>
        <v>3.5284622222222232E-4</v>
      </c>
      <c r="N27">
        <f t="shared" si="18"/>
        <v>3.5272915495765389E-4</v>
      </c>
      <c r="O27">
        <v>0</v>
      </c>
      <c r="P27">
        <v>680.33663193384155</v>
      </c>
      <c r="Q27">
        <f t="shared" si="19"/>
        <v>30.041051670502874</v>
      </c>
      <c r="R27">
        <f t="shared" si="20"/>
        <v>0.56592426212205937</v>
      </c>
      <c r="S27">
        <f t="shared" si="14"/>
        <v>15.779437562444452</v>
      </c>
      <c r="T27">
        <f t="shared" si="21"/>
        <v>1.9038100408598533</v>
      </c>
      <c r="U27">
        <v>0</v>
      </c>
      <c r="V27">
        <f t="shared" si="22"/>
        <v>4.6399999999999997</v>
      </c>
      <c r="W27">
        <f t="shared" si="23"/>
        <v>0.56592426212205937</v>
      </c>
    </row>
    <row r="28" spans="1:23" x14ac:dyDescent="0.3">
      <c r="A28">
        <v>1974</v>
      </c>
      <c r="B28">
        <v>140.64735317309899</v>
      </c>
      <c r="C28">
        <f t="shared" si="12"/>
        <v>3.6999999999999998E-2</v>
      </c>
      <c r="D28">
        <f t="shared" si="15"/>
        <v>10.670187847670661</v>
      </c>
      <c r="E28">
        <f t="shared" si="16"/>
        <v>0.34607415801173252</v>
      </c>
      <c r="F28">
        <v>4003794</v>
      </c>
      <c r="G28">
        <v>4.0037940000000001</v>
      </c>
      <c r="H28">
        <v>30.8320849755818</v>
      </c>
      <c r="I28">
        <v>4.62</v>
      </c>
      <c r="J28">
        <v>0.32939499569626307</v>
      </c>
      <c r="K28">
        <v>0.13333333333333333</v>
      </c>
      <c r="L28">
        <f t="shared" si="13"/>
        <v>0.13333333333333333</v>
      </c>
      <c r="M28">
        <f t="shared" si="17"/>
        <v>4.195555555555556E-5</v>
      </c>
      <c r="N28">
        <f t="shared" si="18"/>
        <v>4.1953696596208623E-5</v>
      </c>
      <c r="O28">
        <v>0</v>
      </c>
      <c r="P28">
        <v>676.90041488673535</v>
      </c>
      <c r="Q28">
        <f t="shared" si="19"/>
        <v>30.833378549790513</v>
      </c>
      <c r="R28">
        <f t="shared" si="20"/>
        <v>0.54900503273310641</v>
      </c>
      <c r="S28">
        <f t="shared" si="14"/>
        <v>16.222643108392564</v>
      </c>
      <c r="T28">
        <f t="shared" si="21"/>
        <v>1.9006384066872113</v>
      </c>
      <c r="U28">
        <v>0</v>
      </c>
      <c r="V28">
        <f t="shared" si="22"/>
        <v>4.62</v>
      </c>
      <c r="W28">
        <f t="shared" si="23"/>
        <v>0.54900503273310641</v>
      </c>
    </row>
    <row r="29" spans="1:23" x14ac:dyDescent="0.3">
      <c r="A29">
        <v>1975</v>
      </c>
      <c r="B29">
        <v>146.113588953365</v>
      </c>
      <c r="C29">
        <f t="shared" si="12"/>
        <v>3.6999999999999998E-2</v>
      </c>
      <c r="D29">
        <f t="shared" si="15"/>
        <v>11.23523481345353</v>
      </c>
      <c r="E29">
        <f t="shared" si="16"/>
        <v>0.35971816104321924</v>
      </c>
      <c r="F29">
        <v>4079480</v>
      </c>
      <c r="G29">
        <v>4.0794800000000002</v>
      </c>
      <c r="H29">
        <v>31.233437813843501</v>
      </c>
      <c r="I29">
        <v>4.6130000000000004</v>
      </c>
      <c r="J29">
        <v>0.34441821314475207</v>
      </c>
      <c r="K29">
        <v>0.20000000000000004</v>
      </c>
      <c r="L29">
        <f t="shared" si="13"/>
        <v>0.20000000000000004</v>
      </c>
      <c r="M29">
        <f t="shared" si="17"/>
        <v>9.4400000000000045E-5</v>
      </c>
      <c r="N29">
        <f t="shared" si="18"/>
        <v>9.4390949663680779E-5</v>
      </c>
      <c r="O29">
        <v>0</v>
      </c>
      <c r="P29">
        <v>673.48155334724197</v>
      </c>
      <c r="Q29">
        <f t="shared" si="19"/>
        <v>31.236386246005324</v>
      </c>
      <c r="R29">
        <f t="shared" si="20"/>
        <v>0.54110074919955009</v>
      </c>
      <c r="S29">
        <f t="shared" si="14"/>
        <v>16.65586611307014</v>
      </c>
      <c r="T29">
        <f t="shared" si="21"/>
        <v>1.8753984952781053</v>
      </c>
      <c r="U29">
        <v>0</v>
      </c>
      <c r="V29">
        <f t="shared" si="22"/>
        <v>4.6130000000000004</v>
      </c>
      <c r="W29">
        <f t="shared" si="23"/>
        <v>0.54110074919955009</v>
      </c>
    </row>
    <row r="30" spans="1:23" x14ac:dyDescent="0.3">
      <c r="A30">
        <v>1976</v>
      </c>
      <c r="B30">
        <v>151.942620975544</v>
      </c>
      <c r="C30">
        <f t="shared" si="12"/>
        <v>3.6999999999999998E-2</v>
      </c>
      <c r="D30">
        <f t="shared" si="15"/>
        <v>11.666789388088148</v>
      </c>
      <c r="E30">
        <f t="shared" si="16"/>
        <v>0.35574389885321456</v>
      </c>
      <c r="F30">
        <v>4154667</v>
      </c>
      <c r="G30">
        <v>4.1546669999999999</v>
      </c>
      <c r="H30">
        <v>32.795472882873099</v>
      </c>
      <c r="I30">
        <v>4.8579999999999997</v>
      </c>
      <c r="J30">
        <v>0.35907442263569006</v>
      </c>
      <c r="K30">
        <v>0.11</v>
      </c>
      <c r="L30">
        <f t="shared" si="13"/>
        <v>0.11</v>
      </c>
      <c r="M30">
        <f t="shared" si="17"/>
        <v>2.8555999999999999E-5</v>
      </c>
      <c r="N30">
        <f t="shared" si="18"/>
        <v>2.8555114811479321E-5</v>
      </c>
      <c r="O30">
        <v>0</v>
      </c>
      <c r="P30">
        <v>670.0799596568578</v>
      </c>
      <c r="Q30">
        <f t="shared" si="19"/>
        <v>32.796409388108579</v>
      </c>
      <c r="R30">
        <f t="shared" si="20"/>
        <v>0.54273355931621814</v>
      </c>
      <c r="S30">
        <f t="shared" si="14"/>
        <v>17.10249499636938</v>
      </c>
      <c r="T30">
        <f t="shared" si="21"/>
        <v>1.9176388822257102</v>
      </c>
      <c r="U30">
        <v>0</v>
      </c>
      <c r="V30">
        <f t="shared" si="22"/>
        <v>4.8579999999999997</v>
      </c>
      <c r="W30">
        <f t="shared" si="23"/>
        <v>0.54273355931621814</v>
      </c>
    </row>
    <row r="31" spans="1:23" x14ac:dyDescent="0.3">
      <c r="A31">
        <v>1977</v>
      </c>
      <c r="B31">
        <v>157.98753338753701</v>
      </c>
      <c r="C31">
        <f t="shared" si="12"/>
        <v>3.6999999999999998E-2</v>
      </c>
      <c r="D31">
        <f t="shared" si="15"/>
        <v>12.159210703761858</v>
      </c>
      <c r="E31">
        <f t="shared" si="16"/>
        <v>0.3563936931077582</v>
      </c>
      <c r="F31">
        <v>4229506</v>
      </c>
      <c r="G31">
        <v>4.2295059999999998</v>
      </c>
      <c r="H31">
        <v>34.117356560755503</v>
      </c>
      <c r="I31">
        <v>4.9909999999999997</v>
      </c>
      <c r="J31">
        <v>0.37335356416290605</v>
      </c>
      <c r="K31">
        <v>0.39333333333333337</v>
      </c>
      <c r="L31">
        <f t="shared" si="13"/>
        <v>0.39333333333333337</v>
      </c>
      <c r="M31">
        <f t="shared" si="17"/>
        <v>3.6511822222222228E-4</v>
      </c>
      <c r="N31">
        <f t="shared" si="18"/>
        <v>3.6499333028228165E-4</v>
      </c>
      <c r="O31">
        <v>0</v>
      </c>
      <c r="P31">
        <v>666.69554659982134</v>
      </c>
      <c r="Q31">
        <f t="shared" si="19"/>
        <v>34.129813715125302</v>
      </c>
      <c r="R31">
        <f t="shared" si="20"/>
        <v>0.5358079054470708</v>
      </c>
      <c r="S31">
        <f t="shared" si="14"/>
        <v>17.556005279932656</v>
      </c>
      <c r="T31">
        <f t="shared" si="21"/>
        <v>1.9440535116571931</v>
      </c>
      <c r="U31">
        <v>0</v>
      </c>
      <c r="V31">
        <f t="shared" si="22"/>
        <v>4.9909999999999997</v>
      </c>
      <c r="W31">
        <f t="shared" si="23"/>
        <v>0.5358079054470708</v>
      </c>
    </row>
    <row r="32" spans="1:23" x14ac:dyDescent="0.3">
      <c r="A32">
        <v>1978</v>
      </c>
      <c r="B32">
        <v>164.30120535596001</v>
      </c>
      <c r="C32">
        <f t="shared" si="12"/>
        <v>3.6999999999999998E-2</v>
      </c>
      <c r="D32">
        <f t="shared" si="15"/>
        <v>12.405290088564527</v>
      </c>
      <c r="E32">
        <f t="shared" si="16"/>
        <v>0.34958702208100312</v>
      </c>
      <c r="F32">
        <v>4304534</v>
      </c>
      <c r="G32">
        <v>4.3045340000000003</v>
      </c>
      <c r="H32">
        <v>35.485556685482699</v>
      </c>
      <c r="I32">
        <v>5.1740000000000004</v>
      </c>
      <c r="J32">
        <v>0.38803470943695506</v>
      </c>
      <c r="K32">
        <v>0.28999999999999998</v>
      </c>
      <c r="L32">
        <f t="shared" si="13"/>
        <v>0.28999999999999998</v>
      </c>
      <c r="M32">
        <f t="shared" si="17"/>
        <v>1.98476E-4</v>
      </c>
      <c r="N32">
        <f t="shared" si="18"/>
        <v>1.9843730402291371E-4</v>
      </c>
      <c r="O32">
        <v>0</v>
      </c>
      <c r="P32">
        <v>663.32822740087681</v>
      </c>
      <c r="Q32">
        <f t="shared" si="19"/>
        <v>35.492599741288124</v>
      </c>
      <c r="R32">
        <f t="shared" si="20"/>
        <v>0.53412644151695998</v>
      </c>
      <c r="S32">
        <f t="shared" si="14"/>
        <v>18.019815959411037</v>
      </c>
      <c r="T32">
        <f t="shared" si="21"/>
        <v>1.9696427433684052</v>
      </c>
      <c r="U32">
        <v>0</v>
      </c>
      <c r="V32">
        <f t="shared" si="22"/>
        <v>5.1740000000000004</v>
      </c>
      <c r="W32">
        <f t="shared" si="23"/>
        <v>0.53412644151695998</v>
      </c>
    </row>
    <row r="33" spans="1:23" x14ac:dyDescent="0.3">
      <c r="A33">
        <v>1979</v>
      </c>
      <c r="B33">
        <v>170.62735084635401</v>
      </c>
      <c r="C33">
        <f t="shared" si="12"/>
        <v>3.6999999999999998E-2</v>
      </c>
      <c r="D33">
        <f t="shared" si="15"/>
        <v>12.574402192116111</v>
      </c>
      <c r="E33">
        <f t="shared" si="16"/>
        <v>0.34062385246895577</v>
      </c>
      <c r="F33">
        <v>4380506</v>
      </c>
      <c r="G33">
        <v>4.3805059999999996</v>
      </c>
      <c r="H33">
        <v>36.9158005259251</v>
      </c>
      <c r="I33">
        <v>5.3120000000000003</v>
      </c>
      <c r="J33">
        <v>0.40376070099862205</v>
      </c>
      <c r="K33">
        <v>0.39666666666666667</v>
      </c>
      <c r="L33">
        <f t="shared" si="13"/>
        <v>0.39666666666666667</v>
      </c>
      <c r="M33">
        <f t="shared" si="17"/>
        <v>3.7133288888888892E-4</v>
      </c>
      <c r="N33">
        <f t="shared" si="18"/>
        <v>3.7120395153977803E-4</v>
      </c>
      <c r="O33">
        <v>0</v>
      </c>
      <c r="P33">
        <v>659.97791572304948</v>
      </c>
      <c r="Q33">
        <f t="shared" si="19"/>
        <v>36.929508905559267</v>
      </c>
      <c r="R33">
        <f t="shared" si="20"/>
        <v>0.52703565730520918</v>
      </c>
      <c r="S33">
        <f t="shared" si="14"/>
        <v>18.484678273905402</v>
      </c>
      <c r="T33">
        <f t="shared" si="21"/>
        <v>1.9978442880281131</v>
      </c>
      <c r="U33">
        <v>0</v>
      </c>
      <c r="V33">
        <f t="shared" si="22"/>
        <v>5.3120000000000003</v>
      </c>
      <c r="W33">
        <f t="shared" si="23"/>
        <v>0.52703565730520918</v>
      </c>
    </row>
    <row r="34" spans="1:23" x14ac:dyDescent="0.3">
      <c r="A34">
        <v>1980</v>
      </c>
      <c r="B34">
        <v>176.88854105715501</v>
      </c>
      <c r="C34">
        <f t="shared" si="12"/>
        <v>3.6999999999999998E-2</v>
      </c>
      <c r="D34">
        <f t="shared" si="15"/>
        <v>12.531789548941731</v>
      </c>
      <c r="E34">
        <f t="shared" si="16"/>
        <v>0.33207424099401828</v>
      </c>
      <c r="F34">
        <v>4458003</v>
      </c>
      <c r="G34">
        <v>4.4580029999999997</v>
      </c>
      <c r="H34">
        <v>37.737915206640402</v>
      </c>
      <c r="I34">
        <v>5.2859999999999996</v>
      </c>
      <c r="J34">
        <v>0.41997442491786102</v>
      </c>
      <c r="K34">
        <v>0.45999999999999996</v>
      </c>
      <c r="L34">
        <f t="shared" si="13"/>
        <v>0.45999999999999996</v>
      </c>
      <c r="M34">
        <f t="shared" si="17"/>
        <v>4.9937599999999994E-4</v>
      </c>
      <c r="N34">
        <f t="shared" si="18"/>
        <v>4.9915222125840319E-4</v>
      </c>
      <c r="O34">
        <v>0</v>
      </c>
      <c r="P34">
        <v>656.64452566543207</v>
      </c>
      <c r="Q34">
        <f t="shared" si="19"/>
        <v>37.756761578049613</v>
      </c>
      <c r="R34">
        <f t="shared" si="20"/>
        <v>0.5129651800238022</v>
      </c>
      <c r="S34">
        <f t="shared" si="14"/>
        <v>18.94902142457908</v>
      </c>
      <c r="T34">
        <f t="shared" si="21"/>
        <v>1.9925441389324048</v>
      </c>
      <c r="U34">
        <v>0</v>
      </c>
      <c r="V34">
        <f t="shared" si="22"/>
        <v>5.2859999999999996</v>
      </c>
      <c r="W34">
        <f t="shared" si="23"/>
        <v>0.5129651800238022</v>
      </c>
    </row>
    <row r="35" spans="1:23" x14ac:dyDescent="0.3">
      <c r="A35">
        <v>1981</v>
      </c>
      <c r="B35">
        <v>182.87545458698199</v>
      </c>
      <c r="C35">
        <f t="shared" si="12"/>
        <v>3.6999999999999998E-2</v>
      </c>
      <c r="D35">
        <f t="shared" si="15"/>
        <v>12.170436041875348</v>
      </c>
      <c r="E35">
        <f t="shared" si="16"/>
        <v>0.31643924657132028</v>
      </c>
      <c r="F35">
        <v>4536997</v>
      </c>
      <c r="G35">
        <v>4.5369970000000004</v>
      </c>
      <c r="H35">
        <v>38.460577105224303</v>
      </c>
      <c r="I35">
        <v>5.1420000000000003</v>
      </c>
      <c r="J35">
        <v>0.43570374917008109</v>
      </c>
      <c r="K35">
        <v>0.51</v>
      </c>
      <c r="L35">
        <f t="shared" si="13"/>
        <v>0.51</v>
      </c>
      <c r="M35">
        <f t="shared" si="17"/>
        <v>6.1383599999999998E-4</v>
      </c>
      <c r="N35">
        <f t="shared" si="18"/>
        <v>6.1351153465027952E-4</v>
      </c>
      <c r="O35">
        <v>0</v>
      </c>
      <c r="P35">
        <v>653.32797176098211</v>
      </c>
      <c r="Q35">
        <f t="shared" si="19"/>
        <v>38.484187598217453</v>
      </c>
      <c r="R35">
        <f t="shared" si="20"/>
        <v>0.48955919757736199</v>
      </c>
      <c r="S35">
        <f t="shared" si="14"/>
        <v>19.404348714667488</v>
      </c>
      <c r="T35">
        <f t="shared" si="21"/>
        <v>1.9832764378805339</v>
      </c>
      <c r="U35">
        <v>0</v>
      </c>
      <c r="V35">
        <f t="shared" si="22"/>
        <v>5.1420000000000003</v>
      </c>
      <c r="W35">
        <f t="shared" si="23"/>
        <v>0.48955919757736199</v>
      </c>
    </row>
    <row r="36" spans="1:23" x14ac:dyDescent="0.3">
      <c r="A36">
        <v>1982</v>
      </c>
      <c r="B36">
        <v>188.279498809139</v>
      </c>
      <c r="C36">
        <f t="shared" si="12"/>
        <v>3.6999999999999998E-2</v>
      </c>
      <c r="D36">
        <f t="shared" si="15"/>
        <v>12.166524578445149</v>
      </c>
      <c r="E36">
        <f t="shared" si="16"/>
        <v>0.31404645774439183</v>
      </c>
      <c r="F36">
        <v>4617387</v>
      </c>
      <c r="G36">
        <v>4.6173869999999999</v>
      </c>
      <c r="H36">
        <v>38.741161628855899</v>
      </c>
      <c r="I36">
        <v>5.1040000000000001</v>
      </c>
      <c r="J36">
        <v>0.45048021867990012</v>
      </c>
      <c r="K36">
        <v>0.36333333333333334</v>
      </c>
      <c r="L36">
        <f t="shared" si="13"/>
        <v>0.36333333333333334</v>
      </c>
      <c r="M36">
        <f t="shared" si="17"/>
        <v>3.1154622222222223E-4</v>
      </c>
      <c r="N36">
        <f t="shared" si="18"/>
        <v>3.1145384543906918E-4</v>
      </c>
      <c r="O36">
        <v>0</v>
      </c>
      <c r="P36">
        <v>650.02816897433058</v>
      </c>
      <c r="Q36">
        <f t="shared" si="19"/>
        <v>38.753231471820989</v>
      </c>
      <c r="R36">
        <f t="shared" si="20"/>
        <v>0.48256765409610503</v>
      </c>
      <c r="S36">
        <f t="shared" si="14"/>
        <v>19.8381109913574</v>
      </c>
      <c r="T36">
        <f t="shared" si="21"/>
        <v>1.9534738710104043</v>
      </c>
      <c r="U36">
        <v>0</v>
      </c>
      <c r="V36">
        <f t="shared" si="22"/>
        <v>5.1040000000000001</v>
      </c>
      <c r="W36">
        <f t="shared" si="23"/>
        <v>0.48256765409610503</v>
      </c>
    </row>
    <row r="37" spans="1:23" x14ac:dyDescent="0.3">
      <c r="A37">
        <v>1983</v>
      </c>
      <c r="B37">
        <v>193.47968193164601</v>
      </c>
      <c r="C37">
        <f t="shared" si="12"/>
        <v>3.6999999999999998E-2</v>
      </c>
      <c r="D37">
        <f t="shared" si="15"/>
        <v>12.500706092231894</v>
      </c>
      <c r="E37">
        <f t="shared" si="16"/>
        <v>0.31403051016512717</v>
      </c>
      <c r="F37">
        <v>4699569</v>
      </c>
      <c r="G37">
        <v>4.6995690000000003</v>
      </c>
      <c r="H37">
        <v>39.807297977698497</v>
      </c>
      <c r="I37">
        <v>5.1520000000000001</v>
      </c>
      <c r="J37">
        <v>0.46437927091169612</v>
      </c>
      <c r="K37">
        <v>0.53666666666666674</v>
      </c>
      <c r="L37">
        <f t="shared" si="13"/>
        <v>0.53666666666666674</v>
      </c>
      <c r="M37">
        <f t="shared" si="17"/>
        <v>6.7970622222222237E-4</v>
      </c>
      <c r="N37">
        <f t="shared" si="18"/>
        <v>6.7931849681923673E-4</v>
      </c>
      <c r="O37">
        <v>0</v>
      </c>
      <c r="P37">
        <v>646.74503269960178</v>
      </c>
      <c r="Q37">
        <f t="shared" si="19"/>
        <v>39.834358194028624</v>
      </c>
      <c r="R37">
        <f t="shared" si="20"/>
        <v>0.47388558158895472</v>
      </c>
      <c r="S37">
        <f t="shared" si="14"/>
        <v>20.267569063103039</v>
      </c>
      <c r="T37">
        <f t="shared" si="21"/>
        <v>1.9654235823746016</v>
      </c>
      <c r="U37">
        <v>0</v>
      </c>
      <c r="V37">
        <f t="shared" si="22"/>
        <v>5.1520000000000001</v>
      </c>
      <c r="W37">
        <f t="shared" si="23"/>
        <v>0.47388558158895472</v>
      </c>
    </row>
    <row r="38" spans="1:23" x14ac:dyDescent="0.3">
      <c r="A38">
        <v>1984</v>
      </c>
      <c r="B38">
        <v>198.82163979240701</v>
      </c>
      <c r="C38">
        <f t="shared" si="12"/>
        <v>3.6999999999999998E-2</v>
      </c>
      <c r="D38">
        <f t="shared" si="15"/>
        <v>12.80187069660505</v>
      </c>
      <c r="E38">
        <f t="shared" si="16"/>
        <v>0.30778674942191209</v>
      </c>
      <c r="F38">
        <v>4784012</v>
      </c>
      <c r="G38">
        <v>4.7840119999999997</v>
      </c>
      <c r="H38">
        <v>41.593313294512001</v>
      </c>
      <c r="I38">
        <v>5.3019999999999996</v>
      </c>
      <c r="J38">
        <v>0.47813587452853507</v>
      </c>
      <c r="K38">
        <v>0.35333333333333333</v>
      </c>
      <c r="L38">
        <f t="shared" si="13"/>
        <v>0.35333333333333333</v>
      </c>
      <c r="M38">
        <f t="shared" si="17"/>
        <v>2.9463288888888889E-4</v>
      </c>
      <c r="N38">
        <f t="shared" si="18"/>
        <v>2.9454986896637614E-4</v>
      </c>
      <c r="O38">
        <v>0</v>
      </c>
      <c r="P38">
        <v>643.47847875824391</v>
      </c>
      <c r="Q38">
        <f t="shared" si="19"/>
        <v>41.605568209176283</v>
      </c>
      <c r="R38">
        <f t="shared" si="20"/>
        <v>0.4669213481794342</v>
      </c>
      <c r="S38">
        <f t="shared" si="14"/>
        <v>20.708345410491255</v>
      </c>
      <c r="T38">
        <f t="shared" si="21"/>
        <v>2.009120834352033</v>
      </c>
      <c r="U38">
        <v>0</v>
      </c>
      <c r="V38">
        <f t="shared" si="22"/>
        <v>5.3019999999999996</v>
      </c>
      <c r="W38">
        <f t="shared" si="23"/>
        <v>0.4669213481794342</v>
      </c>
    </row>
    <row r="39" spans="1:23" x14ac:dyDescent="0.3">
      <c r="A39">
        <v>1985</v>
      </c>
      <c r="B39">
        <v>204.26710981669299</v>
      </c>
      <c r="C39">
        <f t="shared" si="12"/>
        <v>3.6999999999999998E-2</v>
      </c>
      <c r="D39">
        <f t="shared" si="15"/>
        <v>13.213196156450664</v>
      </c>
      <c r="E39">
        <f t="shared" si="16"/>
        <v>0.30688017441170318</v>
      </c>
      <c r="F39">
        <v>4870922</v>
      </c>
      <c r="G39">
        <v>4.8709220000000002</v>
      </c>
      <c r="H39">
        <v>43.0565323477826</v>
      </c>
      <c r="I39">
        <v>5.49</v>
      </c>
      <c r="J39">
        <v>0.49249501155403203</v>
      </c>
      <c r="K39">
        <v>0.33333333333333331</v>
      </c>
      <c r="L39">
        <f t="shared" si="13"/>
        <v>0.33333333333333331</v>
      </c>
      <c r="M39">
        <f t="shared" si="17"/>
        <v>2.6222222222222223E-4</v>
      </c>
      <c r="N39">
        <f t="shared" si="18"/>
        <v>2.6215585998068391E-4</v>
      </c>
      <c r="O39">
        <v>0</v>
      </c>
      <c r="P39">
        <v>640.22842339687088</v>
      </c>
      <c r="Q39">
        <f t="shared" si="19"/>
        <v>43.067822829914071</v>
      </c>
      <c r="R39">
        <f t="shared" si="20"/>
        <v>0.46706238389251165</v>
      </c>
      <c r="S39">
        <f t="shared" si="14"/>
        <v>21.159420819569085</v>
      </c>
      <c r="T39">
        <f t="shared" si="21"/>
        <v>2.0353970553902503</v>
      </c>
      <c r="U39">
        <v>0</v>
      </c>
      <c r="V39">
        <f t="shared" si="22"/>
        <v>5.49</v>
      </c>
      <c r="W39">
        <f t="shared" si="23"/>
        <v>0.46706238389251165</v>
      </c>
    </row>
    <row r="40" spans="1:23" x14ac:dyDescent="0.3">
      <c r="A40">
        <v>1986</v>
      </c>
      <c r="B40">
        <v>209.92242290992601</v>
      </c>
      <c r="C40">
        <f t="shared" si="12"/>
        <v>3.6999999999999998E-2</v>
      </c>
      <c r="D40">
        <f t="shared" si="15"/>
        <v>13.76479966206125</v>
      </c>
      <c r="E40">
        <f t="shared" si="16"/>
        <v>0.30878706600169903</v>
      </c>
      <c r="F40">
        <v>4960568</v>
      </c>
      <c r="G40">
        <v>4.9605680000000003</v>
      </c>
      <c r="H40">
        <v>44.576995533826903</v>
      </c>
      <c r="I40">
        <v>5.5679999999999996</v>
      </c>
      <c r="J40">
        <v>0.50758467389806716</v>
      </c>
      <c r="K40">
        <v>0.40333333333333332</v>
      </c>
      <c r="L40">
        <f t="shared" si="13"/>
        <v>0.40333333333333332</v>
      </c>
      <c r="M40">
        <f t="shared" si="17"/>
        <v>3.8391955555555553E-4</v>
      </c>
      <c r="N40">
        <f t="shared" si="18"/>
        <v>3.8378225678392663E-4</v>
      </c>
      <c r="O40">
        <v>0</v>
      </c>
      <c r="P40">
        <v>636.99478328511486</v>
      </c>
      <c r="Q40">
        <f t="shared" si="19"/>
        <v>44.594109961987385</v>
      </c>
      <c r="R40">
        <f t="shared" si="20"/>
        <v>0.45748534991258294</v>
      </c>
      <c r="S40">
        <f t="shared" si="14"/>
        <v>21.625841355451175</v>
      </c>
      <c r="T40">
        <f t="shared" si="21"/>
        <v>2.062075145610307</v>
      </c>
      <c r="U40">
        <v>0</v>
      </c>
      <c r="V40">
        <f t="shared" si="22"/>
        <v>5.5679999999999996</v>
      </c>
      <c r="W40">
        <f t="shared" si="23"/>
        <v>0.45748534991258294</v>
      </c>
    </row>
    <row r="41" spans="1:23" x14ac:dyDescent="0.3">
      <c r="A41">
        <v>1987</v>
      </c>
      <c r="B41">
        <v>215.92009292431999</v>
      </c>
      <c r="C41">
        <f t="shared" si="12"/>
        <v>3.6999999999999998E-2</v>
      </c>
      <c r="D41">
        <f t="shared" si="15"/>
        <v>14.463060372715859</v>
      </c>
      <c r="E41">
        <f t="shared" si="16"/>
        <v>0.31220391996168351</v>
      </c>
      <c r="F41">
        <v>5052522</v>
      </c>
      <c r="G41">
        <v>5.0525219999999997</v>
      </c>
      <c r="H41">
        <v>46.325684746337899</v>
      </c>
      <c r="I41">
        <v>5.7489999999999997</v>
      </c>
      <c r="J41">
        <v>0.52309872216190612</v>
      </c>
      <c r="K41">
        <v>0.54666666666666675</v>
      </c>
      <c r="L41">
        <f t="shared" si="13"/>
        <v>0.54666666666666675</v>
      </c>
      <c r="M41">
        <f t="shared" si="17"/>
        <v>7.052728888888891E-4</v>
      </c>
      <c r="N41">
        <f t="shared" si="18"/>
        <v>7.0485977045109394E-4</v>
      </c>
      <c r="O41">
        <v>0</v>
      </c>
      <c r="P41">
        <v>633.77747551348966</v>
      </c>
      <c r="Q41">
        <f t="shared" si="19"/>
        <v>46.358360889953282</v>
      </c>
      <c r="R41">
        <f t="shared" si="20"/>
        <v>0.45438051724915568</v>
      </c>
      <c r="S41">
        <f t="shared" si="14"/>
        <v>22.111772213054682</v>
      </c>
      <c r="T41">
        <f t="shared" si="21"/>
        <v>2.0965466016597047</v>
      </c>
      <c r="U41">
        <v>0</v>
      </c>
      <c r="V41">
        <f t="shared" si="22"/>
        <v>5.7489999999999997</v>
      </c>
      <c r="W41">
        <f t="shared" si="23"/>
        <v>0.45438051724915568</v>
      </c>
    </row>
    <row r="42" spans="1:23" x14ac:dyDescent="0.3">
      <c r="A42">
        <v>1988</v>
      </c>
      <c r="B42">
        <v>222.394109858836</v>
      </c>
      <c r="C42">
        <f t="shared" si="12"/>
        <v>3.6999999999999998E-2</v>
      </c>
      <c r="D42">
        <f t="shared" si="15"/>
        <v>14.997453505212917</v>
      </c>
      <c r="E42">
        <f t="shared" si="16"/>
        <v>0.31028007380039235</v>
      </c>
      <c r="F42">
        <v>5145426</v>
      </c>
      <c r="G42">
        <v>5.1454259999999996</v>
      </c>
      <c r="H42">
        <v>48.335213156037199</v>
      </c>
      <c r="I42">
        <v>5.968</v>
      </c>
      <c r="J42">
        <v>0.53906762430095012</v>
      </c>
      <c r="K42">
        <v>0.56999999999999995</v>
      </c>
      <c r="L42">
        <f t="shared" si="13"/>
        <v>0.56999999999999995</v>
      </c>
      <c r="M42">
        <f t="shared" si="17"/>
        <v>7.6676399999999997E-4</v>
      </c>
      <c r="N42">
        <f t="shared" si="18"/>
        <v>7.6628825108715493E-4</v>
      </c>
      <c r="O42">
        <v>0</v>
      </c>
      <c r="P42">
        <v>630.57641759126511</v>
      </c>
      <c r="Q42">
        <f t="shared" si="19"/>
        <v>48.372280266083393</v>
      </c>
      <c r="R42">
        <f t="shared" si="20"/>
        <v>0.45205129631509322</v>
      </c>
      <c r="S42">
        <f t="shared" si="14"/>
        <v>22.61880982065237</v>
      </c>
      <c r="T42">
        <f t="shared" si="21"/>
        <v>2.1385864530288643</v>
      </c>
      <c r="U42">
        <v>0</v>
      </c>
      <c r="V42">
        <f t="shared" si="22"/>
        <v>5.968</v>
      </c>
      <c r="W42">
        <f t="shared" si="23"/>
        <v>0.45205129631509322</v>
      </c>
    </row>
    <row r="43" spans="1:23" x14ac:dyDescent="0.3">
      <c r="A43">
        <v>1989</v>
      </c>
      <c r="B43">
        <v>229.16298129927199</v>
      </c>
      <c r="C43">
        <f t="shared" si="12"/>
        <v>3.6999999999999998E-2</v>
      </c>
      <c r="D43">
        <f t="shared" si="15"/>
        <v>15.376750673772079</v>
      </c>
      <c r="E43">
        <f t="shared" si="16"/>
        <v>0.30741500475726308</v>
      </c>
      <c r="F43">
        <v>5237441</v>
      </c>
      <c r="G43">
        <v>5.2374409999999996</v>
      </c>
      <c r="H43">
        <v>50.019519007908102</v>
      </c>
      <c r="I43">
        <v>6.0570000000000004</v>
      </c>
      <c r="J43">
        <v>0.55596967075587711</v>
      </c>
      <c r="K43">
        <v>0.47333333333333333</v>
      </c>
      <c r="L43">
        <f t="shared" si="13"/>
        <v>0.47333333333333333</v>
      </c>
      <c r="M43">
        <f t="shared" si="17"/>
        <v>5.2874488888888886E-4</v>
      </c>
      <c r="N43">
        <f t="shared" si="18"/>
        <v>5.2849655150366548E-4</v>
      </c>
      <c r="O43">
        <v>0</v>
      </c>
      <c r="P43">
        <v>627.39152744435182</v>
      </c>
      <c r="Q43">
        <f t="shared" si="19"/>
        <v>50.045968129481196</v>
      </c>
      <c r="R43">
        <f t="shared" si="20"/>
        <v>0.44344926933138068</v>
      </c>
      <c r="S43">
        <f t="shared" si="14"/>
        <v>23.134512417531365</v>
      </c>
      <c r="T43">
        <f t="shared" si="21"/>
        <v>2.1632601209073372</v>
      </c>
      <c r="U43">
        <v>0</v>
      </c>
      <c r="V43">
        <f t="shared" si="22"/>
        <v>6.0570000000000004</v>
      </c>
      <c r="W43">
        <f t="shared" si="23"/>
        <v>0.44344926933138068</v>
      </c>
    </row>
    <row r="44" spans="1:23" x14ac:dyDescent="0.3">
      <c r="A44">
        <v>1990</v>
      </c>
      <c r="B44">
        <v>236.06070166497099</v>
      </c>
      <c r="C44">
        <f t="shared" si="12"/>
        <v>3.6999999999999998E-2</v>
      </c>
      <c r="D44">
        <f t="shared" si="15"/>
        <v>15.564442280144931</v>
      </c>
      <c r="E44">
        <f t="shared" si="16"/>
        <v>0.30171066333508728</v>
      </c>
      <c r="F44">
        <v>5327231</v>
      </c>
      <c r="G44">
        <v>5.3272310000000003</v>
      </c>
      <c r="H44">
        <v>51.587312520203099</v>
      </c>
      <c r="I44">
        <v>6.1950000000000003</v>
      </c>
      <c r="J44">
        <v>0.57384822692895809</v>
      </c>
      <c r="K44">
        <v>0.64666666666666661</v>
      </c>
      <c r="L44">
        <f t="shared" si="13"/>
        <v>0.64666666666666661</v>
      </c>
      <c r="M44">
        <f t="shared" si="17"/>
        <v>9.868995555555554E-4</v>
      </c>
      <c r="N44">
        <f t="shared" si="18"/>
        <v>9.8619046617831607E-4</v>
      </c>
      <c r="O44">
        <v>0</v>
      </c>
      <c r="P44">
        <v>624.22272341319695</v>
      </c>
      <c r="Q44">
        <f t="shared" si="19"/>
        <v>51.638237657871542</v>
      </c>
      <c r="R44">
        <f t="shared" si="20"/>
        <v>0.43956728636613202</v>
      </c>
      <c r="S44">
        <f t="shared" si="14"/>
        <v>23.648506977880871</v>
      </c>
      <c r="T44">
        <f t="shared" si="21"/>
        <v>2.1835728448383769</v>
      </c>
      <c r="U44">
        <v>0</v>
      </c>
      <c r="V44">
        <f t="shared" si="22"/>
        <v>6.1950000000000003</v>
      </c>
      <c r="W44">
        <f t="shared" si="23"/>
        <v>0.43956728636613202</v>
      </c>
    </row>
    <row r="45" spans="1:23" x14ac:dyDescent="0.3">
      <c r="A45">
        <v>1991</v>
      </c>
      <c r="B45">
        <v>242.89089798351199</v>
      </c>
      <c r="C45">
        <f t="shared" si="12"/>
        <v>3.6999999999999998E-2</v>
      </c>
      <c r="D45">
        <f t="shared" si="15"/>
        <v>15.75225185851798</v>
      </c>
      <c r="E45">
        <f t="shared" si="16"/>
        <v>0.30242827121650823</v>
      </c>
      <c r="F45">
        <v>5414289</v>
      </c>
      <c r="G45">
        <v>5.4142890000000001</v>
      </c>
      <c r="H45">
        <v>52.085910471117799</v>
      </c>
      <c r="I45">
        <v>6.3239999999999998</v>
      </c>
      <c r="J45">
        <v>0.59187139036468117</v>
      </c>
      <c r="K45">
        <v>0.59666666666666668</v>
      </c>
      <c r="L45">
        <f t="shared" si="13"/>
        <v>0.59666666666666668</v>
      </c>
      <c r="M45">
        <f t="shared" si="17"/>
        <v>8.4018622222222221E-4</v>
      </c>
      <c r="N45">
        <f t="shared" si="18"/>
        <v>8.3963354015414993E-4</v>
      </c>
      <c r="O45">
        <v>0</v>
      </c>
      <c r="P45">
        <v>621.06992425069052</v>
      </c>
      <c r="Q45">
        <f t="shared" si="19"/>
        <v>52.129680299134463</v>
      </c>
      <c r="R45">
        <f t="shared" si="20"/>
        <v>0.44449027630780852</v>
      </c>
      <c r="S45">
        <f t="shared" si="14"/>
        <v>24.151603285060929</v>
      </c>
      <c r="T45">
        <f t="shared" si="21"/>
        <v>2.1584355988233495</v>
      </c>
      <c r="U45">
        <v>0</v>
      </c>
      <c r="V45">
        <f t="shared" si="22"/>
        <v>6.3239999999999998</v>
      </c>
      <c r="W45">
        <f t="shared" si="23"/>
        <v>0.44449027630780852</v>
      </c>
    </row>
    <row r="46" spans="1:23" x14ac:dyDescent="0.3">
      <c r="A46">
        <v>1992</v>
      </c>
      <c r="B46">
        <v>249.65618661664001</v>
      </c>
      <c r="C46">
        <f t="shared" si="12"/>
        <v>3.6999999999999998E-2</v>
      </c>
      <c r="D46">
        <f t="shared" si="15"/>
        <v>15.798656813467687</v>
      </c>
      <c r="E46">
        <f t="shared" si="16"/>
        <v>0.29901477000717508</v>
      </c>
      <c r="F46">
        <v>5498920</v>
      </c>
      <c r="G46">
        <v>5.49892</v>
      </c>
      <c r="H46">
        <v>52.835707122723697</v>
      </c>
      <c r="I46">
        <v>6.1260000000000003</v>
      </c>
      <c r="J46">
        <v>0.60908039717277318</v>
      </c>
      <c r="K46">
        <v>0.4366666666666667</v>
      </c>
      <c r="L46">
        <f t="shared" si="13"/>
        <v>0.4366666666666667</v>
      </c>
      <c r="M46">
        <f t="shared" si="17"/>
        <v>4.4999955555555563E-4</v>
      </c>
      <c r="N46">
        <f t="shared" si="18"/>
        <v>4.498148242648714E-4</v>
      </c>
      <c r="O46">
        <v>0</v>
      </c>
      <c r="P46">
        <v>617.93304912008205</v>
      </c>
      <c r="Q46">
        <f t="shared" si="19"/>
        <v>52.859484102275893</v>
      </c>
      <c r="R46">
        <f t="shared" si="20"/>
        <v>0.42462888885882244</v>
      </c>
      <c r="S46">
        <f t="shared" ref="S46:S73" si="24">B46^$T$1*G46^(1-$T$1)</f>
        <v>24.644743875345341</v>
      </c>
      <c r="T46">
        <f t="shared" si="21"/>
        <v>2.1448583263694068</v>
      </c>
      <c r="U46">
        <v>0</v>
      </c>
      <c r="V46">
        <f t="shared" si="22"/>
        <v>6.1260000000000003</v>
      </c>
      <c r="W46">
        <f t="shared" si="23"/>
        <v>0.42462888885882244</v>
      </c>
    </row>
    <row r="47" spans="1:23" x14ac:dyDescent="0.3">
      <c r="A47">
        <v>1993</v>
      </c>
      <c r="B47">
        <v>256.217564525292</v>
      </c>
      <c r="C47">
        <f t="shared" si="12"/>
        <v>3.6999999999999998E-2</v>
      </c>
      <c r="D47">
        <f t="shared" si="15"/>
        <v>16.37233020509882</v>
      </c>
      <c r="E47">
        <f t="shared" si="16"/>
        <v>0.30477253954354711</v>
      </c>
      <c r="F47">
        <v>5581598</v>
      </c>
      <c r="G47">
        <v>5.5815979999999996</v>
      </c>
      <c r="H47">
        <v>53.719833911609598</v>
      </c>
      <c r="I47">
        <v>6.1909999999999998</v>
      </c>
      <c r="J47">
        <v>0.6255102083789541</v>
      </c>
      <c r="K47">
        <v>0.46666666666666662</v>
      </c>
      <c r="L47">
        <f t="shared" si="13"/>
        <v>0.46666666666666662</v>
      </c>
      <c r="M47">
        <f t="shared" si="17"/>
        <v>5.1395555555555552E-4</v>
      </c>
      <c r="N47">
        <f t="shared" si="18"/>
        <v>5.1371970407387835E-4</v>
      </c>
      <c r="O47">
        <v>0</v>
      </c>
      <c r="P47">
        <v>614.81201759290832</v>
      </c>
      <c r="Q47">
        <f t="shared" si="19"/>
        <v>53.747445033166763</v>
      </c>
      <c r="R47">
        <f t="shared" si="20"/>
        <v>0.42204469414317547</v>
      </c>
      <c r="S47">
        <f t="shared" si="24"/>
        <v>25.123883203284933</v>
      </c>
      <c r="T47">
        <f t="shared" si="21"/>
        <v>2.1392968832994463</v>
      </c>
      <c r="U47">
        <v>0</v>
      </c>
      <c r="V47">
        <f t="shared" si="22"/>
        <v>6.1909999999999998</v>
      </c>
      <c r="W47">
        <f t="shared" si="23"/>
        <v>0.42204469414317547</v>
      </c>
    </row>
    <row r="48" spans="1:23" x14ac:dyDescent="0.3">
      <c r="A48">
        <v>1994</v>
      </c>
      <c r="B48">
        <v>263.109844842955</v>
      </c>
      <c r="C48">
        <f t="shared" si="12"/>
        <v>3.6999999999999998E-2</v>
      </c>
      <c r="D48">
        <f t="shared" si="15"/>
        <v>16.954446133075351</v>
      </c>
      <c r="E48">
        <f t="shared" si="16"/>
        <v>0.30728772191209019</v>
      </c>
      <c r="F48">
        <v>5663150</v>
      </c>
      <c r="G48">
        <v>5.6631499999999999</v>
      </c>
      <c r="H48">
        <v>55.174499090223101</v>
      </c>
      <c r="I48">
        <v>6.2350000000000003</v>
      </c>
      <c r="J48">
        <v>0.64170946809248408</v>
      </c>
      <c r="K48">
        <v>0.53666666666666674</v>
      </c>
      <c r="L48">
        <f t="shared" si="13"/>
        <v>0.53666666666666674</v>
      </c>
      <c r="M48">
        <f t="shared" si="17"/>
        <v>6.7970622222222237E-4</v>
      </c>
      <c r="N48">
        <f t="shared" si="18"/>
        <v>6.7931849681923673E-4</v>
      </c>
      <c r="O48">
        <v>0</v>
      </c>
      <c r="P48">
        <v>611.70674964693069</v>
      </c>
      <c r="Q48">
        <f t="shared" si="19"/>
        <v>55.212005626891937</v>
      </c>
      <c r="R48">
        <f t="shared" si="20"/>
        <v>0.41376942823596574</v>
      </c>
      <c r="S48">
        <f t="shared" si="24"/>
        <v>25.611902899143946</v>
      </c>
      <c r="T48">
        <f t="shared" si="21"/>
        <v>2.1557166542567732</v>
      </c>
      <c r="U48">
        <v>0</v>
      </c>
      <c r="V48">
        <f t="shared" si="22"/>
        <v>6.2350000000000003</v>
      </c>
      <c r="W48">
        <f t="shared" si="23"/>
        <v>0.41376942823596574</v>
      </c>
    </row>
    <row r="49" spans="1:23" x14ac:dyDescent="0.3">
      <c r="A49">
        <v>1995</v>
      </c>
      <c r="B49">
        <v>270.32922671684099</v>
      </c>
      <c r="C49">
        <f t="shared" si="12"/>
        <v>3.6999999999999998E-2</v>
      </c>
      <c r="D49">
        <f t="shared" si="15"/>
        <v>17.862650400394159</v>
      </c>
      <c r="E49">
        <f t="shared" si="16"/>
        <v>0.31372210039241516</v>
      </c>
      <c r="F49">
        <v>5744213</v>
      </c>
      <c r="G49">
        <v>5.7442130000000002</v>
      </c>
      <c r="H49">
        <v>56.937813364282903</v>
      </c>
      <c r="I49">
        <v>6.3680000000000003</v>
      </c>
      <c r="J49">
        <v>0.65819590549591711</v>
      </c>
      <c r="K49">
        <v>0.66333333333333344</v>
      </c>
      <c r="L49">
        <f t="shared" si="13"/>
        <v>0.66333333333333344</v>
      </c>
      <c r="M49">
        <f t="shared" si="17"/>
        <v>1.0384262222222227E-3</v>
      </c>
      <c r="N49">
        <f t="shared" si="18"/>
        <v>1.0376627245302084E-3</v>
      </c>
      <c r="O49">
        <v>0</v>
      </c>
      <c r="P49">
        <v>608.61716566408393</v>
      </c>
      <c r="Q49">
        <f t="shared" si="19"/>
        <v>56.996956981954732</v>
      </c>
      <c r="R49">
        <f t="shared" si="20"/>
        <v>0.40936136305289139</v>
      </c>
      <c r="S49">
        <f t="shared" si="24"/>
        <v>26.110148929164602</v>
      </c>
      <c r="T49">
        <f t="shared" si="21"/>
        <v>2.1829426226784205</v>
      </c>
      <c r="U49">
        <v>0</v>
      </c>
      <c r="V49">
        <f t="shared" si="22"/>
        <v>6.3680000000000003</v>
      </c>
      <c r="W49">
        <f t="shared" si="23"/>
        <v>0.40936136305289139</v>
      </c>
    </row>
    <row r="50" spans="1:23" x14ac:dyDescent="0.3">
      <c r="A50">
        <v>1996</v>
      </c>
      <c r="B50">
        <v>278.18969572871202</v>
      </c>
      <c r="C50">
        <f t="shared" si="12"/>
        <v>3.6999999999999998E-2</v>
      </c>
      <c r="D50">
        <f t="shared" si="15"/>
        <v>18.398970777422278</v>
      </c>
      <c r="E50">
        <f t="shared" si="16"/>
        <v>0.31133816671248887</v>
      </c>
      <c r="F50">
        <v>5824892</v>
      </c>
      <c r="G50">
        <v>5.8248920000000002</v>
      </c>
      <c r="H50">
        <v>59.096419085724101</v>
      </c>
      <c r="I50">
        <v>6.5640000000000001</v>
      </c>
      <c r="J50">
        <v>0.67537599224360612</v>
      </c>
      <c r="K50">
        <v>0.52666666666666673</v>
      </c>
      <c r="L50">
        <f t="shared" si="13"/>
        <v>0.52666666666666673</v>
      </c>
      <c r="M50">
        <f t="shared" si="17"/>
        <v>6.546115555555557E-4</v>
      </c>
      <c r="N50">
        <f t="shared" si="18"/>
        <v>6.5424832064842064E-4</v>
      </c>
      <c r="O50">
        <v>0</v>
      </c>
      <c r="P50">
        <v>605.54318642843441</v>
      </c>
      <c r="Q50">
        <f t="shared" si="19"/>
        <v>59.135108130910112</v>
      </c>
      <c r="R50">
        <f t="shared" si="20"/>
        <v>0.40670418572260514</v>
      </c>
      <c r="S50">
        <f t="shared" si="24"/>
        <v>26.630485505286732</v>
      </c>
      <c r="T50">
        <f t="shared" si="21"/>
        <v>2.2205794227510611</v>
      </c>
      <c r="U50">
        <v>0</v>
      </c>
      <c r="V50">
        <f t="shared" si="22"/>
        <v>6.5640000000000001</v>
      </c>
      <c r="W50">
        <f t="shared" si="23"/>
        <v>0.40670418572260514</v>
      </c>
    </row>
    <row r="51" spans="1:23" x14ac:dyDescent="0.3">
      <c r="A51">
        <v>1997</v>
      </c>
      <c r="B51">
        <v>286.29564776417197</v>
      </c>
      <c r="C51">
        <f t="shared" si="12"/>
        <v>3.6999999999999998E-2</v>
      </c>
      <c r="D51">
        <f t="shared" si="15"/>
        <v>18.425357765100443</v>
      </c>
      <c r="E51">
        <f t="shared" si="16"/>
        <v>0.30036544904617024</v>
      </c>
      <c r="F51">
        <v>5905046</v>
      </c>
      <c r="G51">
        <v>5.9050459999999996</v>
      </c>
      <c r="H51">
        <v>61.343133251881497</v>
      </c>
      <c r="I51">
        <v>6.6020000000000003</v>
      </c>
      <c r="J51">
        <v>0.6925385239899281</v>
      </c>
      <c r="K51">
        <v>0.70666666666666667</v>
      </c>
      <c r="L51">
        <f t="shared" si="13"/>
        <v>0.70666666666666667</v>
      </c>
      <c r="M51">
        <f t="shared" si="17"/>
        <v>1.1785315555555556E-3</v>
      </c>
      <c r="N51">
        <f t="shared" si="18"/>
        <v>1.1776261584982572E-3</v>
      </c>
      <c r="O51">
        <v>0</v>
      </c>
      <c r="P51">
        <v>602.4847331241491</v>
      </c>
      <c r="Q51">
        <f t="shared" si="19"/>
        <v>61.415457701406815</v>
      </c>
      <c r="R51">
        <f t="shared" si="20"/>
        <v>0.39387035292657113</v>
      </c>
      <c r="S51">
        <f t="shared" si="24"/>
        <v>27.157195135687743</v>
      </c>
      <c r="T51">
        <f t="shared" si="21"/>
        <v>2.2614801489826792</v>
      </c>
      <c r="U51">
        <v>0</v>
      </c>
      <c r="V51">
        <f t="shared" si="22"/>
        <v>6.6020000000000003</v>
      </c>
      <c r="W51">
        <f t="shared" si="23"/>
        <v>0.39387035292657113</v>
      </c>
    </row>
    <row r="52" spans="1:23" x14ac:dyDescent="0.3">
      <c r="A52">
        <v>1998</v>
      </c>
      <c r="B52">
        <v>294.12806656199803</v>
      </c>
      <c r="C52">
        <f t="shared" si="12"/>
        <v>3.6999999999999998E-2</v>
      </c>
      <c r="D52">
        <f t="shared" si="15"/>
        <v>18.668857958961951</v>
      </c>
      <c r="E52">
        <f t="shared" si="16"/>
        <v>0.29808639817120436</v>
      </c>
      <c r="F52">
        <v>5984794</v>
      </c>
      <c r="G52">
        <v>5.9847939999999999</v>
      </c>
      <c r="H52">
        <v>62.629016531776102</v>
      </c>
      <c r="I52">
        <v>6.5810000000000004</v>
      </c>
      <c r="J52">
        <v>0.70858689694974408</v>
      </c>
      <c r="K52">
        <v>0.84666666666666668</v>
      </c>
      <c r="L52">
        <f t="shared" si="13"/>
        <v>0.84666666666666668</v>
      </c>
      <c r="M52">
        <f t="shared" si="17"/>
        <v>1.6917528888888891E-3</v>
      </c>
      <c r="N52">
        <f t="shared" si="18"/>
        <v>1.6905333263627087E-3</v>
      </c>
      <c r="O52">
        <v>0</v>
      </c>
      <c r="P52">
        <v>599.441727333475</v>
      </c>
      <c r="Q52">
        <f t="shared" si="19"/>
        <v>62.735072262167066</v>
      </c>
      <c r="R52">
        <f t="shared" si="20"/>
        <v>0.38435891010428352</v>
      </c>
      <c r="S52">
        <f t="shared" si="24"/>
        <v>27.671242988612001</v>
      </c>
      <c r="T52">
        <f t="shared" si="21"/>
        <v>2.2671577235610796</v>
      </c>
      <c r="U52">
        <v>0</v>
      </c>
      <c r="V52">
        <f t="shared" si="22"/>
        <v>6.5810000000000004</v>
      </c>
      <c r="W52">
        <f t="shared" si="23"/>
        <v>0.38435891010428352</v>
      </c>
    </row>
    <row r="53" spans="1:23" x14ac:dyDescent="0.3">
      <c r="A53">
        <v>1999</v>
      </c>
      <c r="B53">
        <v>301.91418605816602</v>
      </c>
      <c r="C53">
        <f t="shared" si="12"/>
        <v>3.6999999999999998E-2</v>
      </c>
      <c r="D53">
        <f t="shared" si="15"/>
        <v>19.351972983938083</v>
      </c>
      <c r="E53">
        <f t="shared" si="16"/>
        <v>0.29877551190163221</v>
      </c>
      <c r="F53">
        <v>6064239</v>
      </c>
      <c r="G53">
        <v>6.0642389999999997</v>
      </c>
      <c r="H53">
        <v>64.770947460745901</v>
      </c>
      <c r="I53">
        <v>6.6680000000000001</v>
      </c>
      <c r="J53">
        <v>0.72357151979652312</v>
      </c>
      <c r="K53">
        <v>0.62666666666666659</v>
      </c>
      <c r="L53">
        <f t="shared" si="13"/>
        <v>0.62666666666666659</v>
      </c>
      <c r="M53">
        <f t="shared" si="17"/>
        <v>9.2679822222222201E-4</v>
      </c>
      <c r="N53">
        <f t="shared" si="18"/>
        <v>9.2615323040157183E-4</v>
      </c>
      <c r="O53">
        <v>0</v>
      </c>
      <c r="P53">
        <v>596.41409103472813</v>
      </c>
      <c r="Q53">
        <f t="shared" si="19"/>
        <v>64.830990892391029</v>
      </c>
      <c r="R53">
        <f t="shared" si="20"/>
        <v>0.37684989329489704</v>
      </c>
      <c r="S53">
        <f t="shared" si="24"/>
        <v>28.181568317367795</v>
      </c>
      <c r="T53">
        <f t="shared" si="21"/>
        <v>2.300474911910309</v>
      </c>
      <c r="U53">
        <v>0</v>
      </c>
      <c r="V53">
        <f t="shared" si="22"/>
        <v>6.6680000000000001</v>
      </c>
      <c r="W53">
        <f t="shared" si="23"/>
        <v>0.37684989329489704</v>
      </c>
    </row>
    <row r="54" spans="1:23" x14ac:dyDescent="0.3">
      <c r="A54">
        <v>2000</v>
      </c>
      <c r="B54">
        <v>310.09533415795198</v>
      </c>
      <c r="C54">
        <f t="shared" si="12"/>
        <v>3.6999999999999998E-2</v>
      </c>
      <c r="D54">
        <f t="shared" si="15"/>
        <v>19.169857720889297</v>
      </c>
      <c r="E54">
        <f t="shared" si="16"/>
        <v>0.28290541275291675</v>
      </c>
      <c r="F54">
        <v>6143494</v>
      </c>
      <c r="G54">
        <v>6.1434939999999996</v>
      </c>
      <c r="H54">
        <v>67.760660831299901</v>
      </c>
      <c r="I54">
        <v>6.8559999999999999</v>
      </c>
      <c r="J54">
        <v>0.73774051090399018</v>
      </c>
      <c r="K54">
        <v>0.62333333333333341</v>
      </c>
      <c r="L54">
        <f t="shared" si="13"/>
        <v>0.62333333333333341</v>
      </c>
      <c r="M54">
        <f t="shared" si="17"/>
        <v>9.1696488888888907E-4</v>
      </c>
      <c r="N54">
        <f t="shared" si="18"/>
        <v>9.1633040709937497E-4</v>
      </c>
      <c r="O54">
        <v>0</v>
      </c>
      <c r="P54">
        <v>593.40174660029356</v>
      </c>
      <c r="Q54">
        <f t="shared" si="19"/>
        <v>67.82280893342049</v>
      </c>
      <c r="R54">
        <f t="shared" si="20"/>
        <v>0.37038253642163199</v>
      </c>
      <c r="S54">
        <f t="shared" si="24"/>
        <v>28.70465337016751</v>
      </c>
      <c r="T54">
        <f t="shared" si="21"/>
        <v>2.3627809769655026</v>
      </c>
      <c r="U54">
        <v>0</v>
      </c>
      <c r="V54">
        <f t="shared" si="22"/>
        <v>6.8559999999999999</v>
      </c>
      <c r="W54">
        <f t="shared" si="23"/>
        <v>0.37038253642163199</v>
      </c>
    </row>
    <row r="55" spans="1:23" x14ac:dyDescent="0.3">
      <c r="A55">
        <v>2001</v>
      </c>
      <c r="B55">
        <v>317.79166451499702</v>
      </c>
      <c r="C55">
        <f t="shared" si="12"/>
        <v>3.6999999999999998E-2</v>
      </c>
      <c r="D55">
        <f t="shared" si="15"/>
        <v>19.238521729309866</v>
      </c>
      <c r="E55">
        <f t="shared" si="16"/>
        <v>0.27726539912433495</v>
      </c>
      <c r="F55">
        <v>6222627</v>
      </c>
      <c r="G55">
        <v>6.2226270000000001</v>
      </c>
      <c r="H55">
        <v>69.386666313464801</v>
      </c>
      <c r="I55">
        <v>6.9139999999999997</v>
      </c>
      <c r="J55">
        <v>0.75125964161986514</v>
      </c>
      <c r="K55">
        <v>0.76666666666666661</v>
      </c>
      <c r="L55">
        <f t="shared" si="13"/>
        <v>0.76666666666666661</v>
      </c>
      <c r="M55">
        <f t="shared" si="17"/>
        <v>1.3871555555555555E-3</v>
      </c>
      <c r="N55">
        <f t="shared" si="18"/>
        <v>1.386070910347259E-3</v>
      </c>
      <c r="O55">
        <v>0</v>
      </c>
      <c r="P55">
        <v>590.40461679463465</v>
      </c>
      <c r="Q55">
        <f t="shared" si="19"/>
        <v>69.482974643382391</v>
      </c>
      <c r="R55">
        <f t="shared" si="20"/>
        <v>0.36459141437193382</v>
      </c>
      <c r="S55">
        <f t="shared" si="24"/>
        <v>29.208635388094176</v>
      </c>
      <c r="T55">
        <f t="shared" si="21"/>
        <v>2.3788504228343568</v>
      </c>
      <c r="U55">
        <v>0</v>
      </c>
      <c r="V55">
        <f t="shared" si="22"/>
        <v>6.9139999999999997</v>
      </c>
      <c r="W55">
        <f t="shared" si="23"/>
        <v>0.36459141437193382</v>
      </c>
    </row>
    <row r="56" spans="1:23" x14ac:dyDescent="0.3">
      <c r="A56">
        <v>2002</v>
      </c>
      <c r="B56">
        <v>325.27189465725201</v>
      </c>
      <c r="C56">
        <f t="shared" si="12"/>
        <v>3.6999999999999998E-2</v>
      </c>
      <c r="D56">
        <f t="shared" si="15"/>
        <v>20.262921682344313</v>
      </c>
      <c r="E56">
        <f t="shared" si="16"/>
        <v>0.28371691829905521</v>
      </c>
      <c r="F56">
        <v>6301773</v>
      </c>
      <c r="G56">
        <v>6.3017729999999998</v>
      </c>
      <c r="H56">
        <v>71.419504356049501</v>
      </c>
      <c r="I56">
        <v>7.0720000000000001</v>
      </c>
      <c r="J56">
        <v>0.76489654344172309</v>
      </c>
      <c r="K56">
        <v>0.83</v>
      </c>
      <c r="L56">
        <f t="shared" si="13"/>
        <v>0.83</v>
      </c>
      <c r="M56">
        <f t="shared" si="17"/>
        <v>1.625804E-3</v>
      </c>
      <c r="N56">
        <f t="shared" si="18"/>
        <v>1.6245967319700183E-3</v>
      </c>
      <c r="O56">
        <v>0</v>
      </c>
      <c r="P56">
        <v>587.42262477231293</v>
      </c>
      <c r="Q56">
        <f t="shared" si="19"/>
        <v>71.535721054694079</v>
      </c>
      <c r="R56">
        <f t="shared" si="20"/>
        <v>0.36222194475664271</v>
      </c>
      <c r="S56">
        <f t="shared" si="24"/>
        <v>29.703975813210739</v>
      </c>
      <c r="T56">
        <f t="shared" si="21"/>
        <v>2.4082877492405852</v>
      </c>
      <c r="U56">
        <v>0</v>
      </c>
      <c r="V56">
        <f t="shared" si="22"/>
        <v>7.0720000000000001</v>
      </c>
      <c r="W56">
        <f t="shared" si="23"/>
        <v>0.36222194475664271</v>
      </c>
    </row>
    <row r="57" spans="1:23" x14ac:dyDescent="0.3">
      <c r="A57">
        <v>2003</v>
      </c>
      <c r="B57">
        <v>333.49975623727801</v>
      </c>
      <c r="C57">
        <f t="shared" si="12"/>
        <v>3.6999999999999998E-2</v>
      </c>
      <c r="D57">
        <f t="shared" si="15"/>
        <v>21.684493012693338</v>
      </c>
      <c r="E57">
        <f t="shared" si="16"/>
        <v>0.29289718404044129</v>
      </c>
      <c r="F57">
        <v>6381185</v>
      </c>
      <c r="G57">
        <v>6.3811850000000003</v>
      </c>
      <c r="H57">
        <v>74.034487848470704</v>
      </c>
      <c r="I57">
        <v>7.4169999999999998</v>
      </c>
      <c r="J57">
        <v>0.77916857850257315</v>
      </c>
      <c r="K57">
        <v>0.83666666666666656</v>
      </c>
      <c r="L57">
        <f t="shared" si="13"/>
        <v>0.83666666666666656</v>
      </c>
      <c r="M57">
        <f t="shared" si="17"/>
        <v>1.6520262222222218E-3</v>
      </c>
      <c r="N57">
        <f t="shared" si="18"/>
        <v>1.6508127785576088E-3</v>
      </c>
      <c r="O57">
        <v>0</v>
      </c>
      <c r="P57">
        <v>584.45569407601795</v>
      </c>
      <c r="Q57">
        <f t="shared" si="19"/>
        <v>74.156907018194644</v>
      </c>
      <c r="R57">
        <f t="shared" si="20"/>
        <v>0.36646469078507155</v>
      </c>
      <c r="S57">
        <f t="shared" si="24"/>
        <v>30.225964660386481</v>
      </c>
      <c r="T57">
        <f t="shared" si="21"/>
        <v>2.4534173797729322</v>
      </c>
      <c r="U57">
        <v>0</v>
      </c>
      <c r="V57">
        <f t="shared" si="22"/>
        <v>7.4169999999999998</v>
      </c>
      <c r="W57">
        <f t="shared" si="23"/>
        <v>0.36646469078507155</v>
      </c>
    </row>
    <row r="58" spans="1:23" x14ac:dyDescent="0.3">
      <c r="A58">
        <v>2004</v>
      </c>
      <c r="B58">
        <v>342.84475826919203</v>
      </c>
      <c r="C58">
        <f t="shared" si="12"/>
        <v>3.6999999999999998E-2</v>
      </c>
      <c r="D58">
        <f t="shared" si="15"/>
        <v>23.210079209573109</v>
      </c>
      <c r="E58">
        <f t="shared" si="16"/>
        <v>0.29812356148006797</v>
      </c>
      <c r="F58">
        <v>6461159</v>
      </c>
      <c r="G58">
        <v>6.4611590000000003</v>
      </c>
      <c r="H58">
        <v>77.853890830848997</v>
      </c>
      <c r="I58">
        <v>7.77</v>
      </c>
      <c r="J58">
        <v>0.79402670045222512</v>
      </c>
      <c r="K58">
        <v>0.77</v>
      </c>
      <c r="L58">
        <f t="shared" si="13"/>
        <v>0.77</v>
      </c>
      <c r="M58">
        <f t="shared" si="17"/>
        <v>1.399244E-3</v>
      </c>
      <c r="N58">
        <f t="shared" si="18"/>
        <v>1.3981506787515974E-3</v>
      </c>
      <c r="O58">
        <v>0</v>
      </c>
      <c r="P58">
        <v>581.5037486346065</v>
      </c>
      <c r="Q58">
        <f t="shared" si="19"/>
        <v>77.962894704998234</v>
      </c>
      <c r="R58">
        <f t="shared" si="20"/>
        <v>0.36516448122820694</v>
      </c>
      <c r="S58">
        <f t="shared" si="24"/>
        <v>30.787976740736365</v>
      </c>
      <c r="T58">
        <f t="shared" si="21"/>
        <v>2.5322513188027558</v>
      </c>
      <c r="U58">
        <v>0</v>
      </c>
      <c r="V58">
        <f t="shared" si="22"/>
        <v>7.77</v>
      </c>
      <c r="W58">
        <f t="shared" si="23"/>
        <v>0.36516448122820694</v>
      </c>
    </row>
    <row r="59" spans="1:23" x14ac:dyDescent="0.3">
      <c r="A59">
        <v>2005</v>
      </c>
      <c r="B59">
        <v>353.36958142280503</v>
      </c>
      <c r="C59">
        <f t="shared" si="12"/>
        <v>3.6999999999999998E-2</v>
      </c>
      <c r="D59">
        <f t="shared" si="15"/>
        <v>24.769303333134758</v>
      </c>
      <c r="E59">
        <f t="shared" si="16"/>
        <v>0.30428121293777044</v>
      </c>
      <c r="F59">
        <v>6541907</v>
      </c>
      <c r="G59">
        <v>6.5419070000000001</v>
      </c>
      <c r="H59">
        <v>81.402670555938698</v>
      </c>
      <c r="I59">
        <v>8.0269999999999992</v>
      </c>
      <c r="J59">
        <v>0.80960739816150717</v>
      </c>
      <c r="K59">
        <v>0.88</v>
      </c>
      <c r="L59">
        <f t="shared" si="13"/>
        <v>0.88</v>
      </c>
      <c r="M59">
        <f t="shared" si="17"/>
        <v>1.8275839999999999E-3</v>
      </c>
      <c r="N59">
        <f t="shared" si="18"/>
        <v>1.8263759741244945E-3</v>
      </c>
      <c r="O59">
        <v>2.5910140786119768E-2</v>
      </c>
      <c r="P59">
        <v>578.56671276115276</v>
      </c>
      <c r="Q59">
        <f t="shared" si="19"/>
        <v>81.552106169703706</v>
      </c>
      <c r="R59">
        <f t="shared" si="20"/>
        <v>0.36063971099407416</v>
      </c>
      <c r="S59">
        <f t="shared" si="24"/>
        <v>31.391859112789387</v>
      </c>
      <c r="T59">
        <f t="shared" si="21"/>
        <v>2.597874368532652</v>
      </c>
      <c r="U59">
        <v>2.5910140786119768E-2</v>
      </c>
      <c r="V59">
        <f t="shared" si="22"/>
        <v>8.2405128480426111</v>
      </c>
      <c r="W59">
        <f t="shared" si="23"/>
        <v>0.37023248685200483</v>
      </c>
    </row>
    <row r="60" spans="1:23" x14ac:dyDescent="0.3">
      <c r="A60">
        <v>2006</v>
      </c>
      <c r="B60">
        <v>365.06421024329597</v>
      </c>
      <c r="C60">
        <f t="shared" si="12"/>
        <v>3.6999999999999998E-2</v>
      </c>
      <c r="D60">
        <f t="shared" si="15"/>
        <v>26.408602503462987</v>
      </c>
      <c r="E60">
        <f t="shared" si="16"/>
        <v>0.30863461072031956</v>
      </c>
      <c r="F60">
        <v>6623518</v>
      </c>
      <c r="G60">
        <v>6.6235179999999998</v>
      </c>
      <c r="H60">
        <v>85.565913822264406</v>
      </c>
      <c r="I60">
        <v>8.2899999999999991</v>
      </c>
      <c r="J60">
        <v>0.82645699661526417</v>
      </c>
      <c r="K60">
        <v>0.84333333333333327</v>
      </c>
      <c r="L60">
        <f t="shared" si="13"/>
        <v>0.84333333333333327</v>
      </c>
      <c r="M60">
        <f t="shared" si="17"/>
        <v>1.678458222222222E-3</v>
      </c>
      <c r="N60">
        <f t="shared" si="18"/>
        <v>1.6772402617758475E-3</v>
      </c>
      <c r="O60">
        <v>1.8196959822586366E-2</v>
      </c>
      <c r="P60">
        <v>575.64451115100724</v>
      </c>
      <c r="Q60">
        <f t="shared" si="19"/>
        <v>85.709871096704276</v>
      </c>
      <c r="R60">
        <f t="shared" si="20"/>
        <v>0.35438811902691059</v>
      </c>
      <c r="S60">
        <f t="shared" si="24"/>
        <v>32.036389289663958</v>
      </c>
      <c r="T60">
        <f t="shared" si="21"/>
        <v>2.6753911098326313</v>
      </c>
      <c r="U60">
        <v>1.8196959822586366E-2</v>
      </c>
      <c r="V60">
        <f t="shared" si="22"/>
        <v>8.4436487368199433</v>
      </c>
      <c r="W60">
        <f t="shared" si="23"/>
        <v>0.36095642865688415</v>
      </c>
    </row>
    <row r="61" spans="1:23" x14ac:dyDescent="0.3">
      <c r="A61">
        <v>2007</v>
      </c>
      <c r="B61">
        <v>377.965436967757</v>
      </c>
      <c r="C61">
        <f t="shared" si="12"/>
        <v>3.6999999999999998E-2</v>
      </c>
      <c r="D61">
        <f t="shared" si="15"/>
        <v>27.018696908041022</v>
      </c>
      <c r="E61">
        <f t="shared" si="16"/>
        <v>0.30113511290348105</v>
      </c>
      <c r="F61">
        <v>6705947</v>
      </c>
      <c r="G61">
        <v>6.7059470000000001</v>
      </c>
      <c r="H61">
        <v>89.722837856842602</v>
      </c>
      <c r="I61">
        <v>8.5410000000000004</v>
      </c>
      <c r="J61">
        <v>0.84501050508905018</v>
      </c>
      <c r="K61">
        <v>0.84</v>
      </c>
      <c r="L61">
        <f t="shared" si="13"/>
        <v>0.84</v>
      </c>
      <c r="M61">
        <f t="shared" si="17"/>
        <v>1.6652159999999997E-3</v>
      </c>
      <c r="N61">
        <f t="shared" si="18"/>
        <v>1.6640000838015201E-3</v>
      </c>
      <c r="O61">
        <v>1.2512510454485266E-2</v>
      </c>
      <c r="P61">
        <v>572.73706887986611</v>
      </c>
      <c r="Q61">
        <f t="shared" si="19"/>
        <v>89.87246354447484</v>
      </c>
      <c r="R61">
        <f t="shared" si="20"/>
        <v>0.34820703434387945</v>
      </c>
      <c r="S61">
        <f t="shared" si="24"/>
        <v>32.721472805608208</v>
      </c>
      <c r="T61">
        <f t="shared" si="21"/>
        <v>2.7465898029220552</v>
      </c>
      <c r="U61">
        <v>1.2512510454485266E-2</v>
      </c>
      <c r="V61">
        <f t="shared" si="22"/>
        <v>8.6492234994601755</v>
      </c>
      <c r="W61">
        <f t="shared" si="23"/>
        <v>0.35261918559002675</v>
      </c>
    </row>
    <row r="62" spans="1:23" x14ac:dyDescent="0.3">
      <c r="A62">
        <v>2008</v>
      </c>
      <c r="B62">
        <v>390.99941270799098</v>
      </c>
      <c r="C62">
        <f t="shared" si="12"/>
        <v>3.6999999999999998E-2</v>
      </c>
      <c r="D62">
        <f t="shared" si="15"/>
        <v>26.139481719581681</v>
      </c>
      <c r="E62">
        <f t="shared" si="16"/>
        <v>0.28452329381895097</v>
      </c>
      <c r="F62">
        <v>6789089</v>
      </c>
      <c r="G62">
        <v>6.7890889999999997</v>
      </c>
      <c r="H62">
        <v>91.871148294152903</v>
      </c>
      <c r="I62">
        <v>8.7189999999999994</v>
      </c>
      <c r="J62">
        <v>0.86526963795552114</v>
      </c>
      <c r="K62">
        <v>0.73999999999999988</v>
      </c>
      <c r="L62">
        <f t="shared" si="13"/>
        <v>0.73999999999999988</v>
      </c>
      <c r="M62">
        <f t="shared" si="17"/>
        <v>1.2923359999999998E-3</v>
      </c>
      <c r="N62">
        <f t="shared" si="18"/>
        <v>1.2913265590261958E-3</v>
      </c>
      <c r="O62">
        <v>1.4253918804628255E-2</v>
      </c>
      <c r="P62">
        <v>569.8443114018504</v>
      </c>
      <c r="Q62">
        <f t="shared" si="19"/>
        <v>91.99004851538227</v>
      </c>
      <c r="R62">
        <f t="shared" si="20"/>
        <v>0.34728121699661924</v>
      </c>
      <c r="S62">
        <f t="shared" si="24"/>
        <v>33.409418715926755</v>
      </c>
      <c r="T62">
        <f t="shared" si="21"/>
        <v>2.7534166127688202</v>
      </c>
      <c r="U62">
        <v>1.4253918804628255E-2</v>
      </c>
      <c r="V62">
        <f t="shared" si="22"/>
        <v>8.8450770095143003</v>
      </c>
      <c r="W62">
        <f t="shared" si="23"/>
        <v>0.35230291412925152</v>
      </c>
    </row>
    <row r="63" spans="1:23" x14ac:dyDescent="0.3">
      <c r="A63">
        <v>2009</v>
      </c>
      <c r="B63">
        <v>402.67191615737698</v>
      </c>
      <c r="C63">
        <f t="shared" si="12"/>
        <v>3.6999999999999998E-2</v>
      </c>
      <c r="D63">
        <f t="shared" si="15"/>
        <v>27.808253384118984</v>
      </c>
      <c r="E63">
        <f t="shared" si="16"/>
        <v>0.30439460498624588</v>
      </c>
      <c r="F63">
        <v>6872767</v>
      </c>
      <c r="G63">
        <v>6.8727669999999996</v>
      </c>
      <c r="H63">
        <v>91.355933806302204</v>
      </c>
      <c r="I63">
        <v>8.5869999999999997</v>
      </c>
      <c r="J63">
        <v>0.88705142008315008</v>
      </c>
      <c r="K63">
        <v>0.85333333333333339</v>
      </c>
      <c r="L63">
        <f t="shared" si="13"/>
        <v>0.85333333333333339</v>
      </c>
      <c r="M63">
        <f t="shared" si="17"/>
        <v>1.7184995555555561E-3</v>
      </c>
      <c r="N63">
        <f t="shared" si="18"/>
        <v>1.7172781721699337E-3</v>
      </c>
      <c r="O63">
        <v>4.9450172195639797E-2</v>
      </c>
      <c r="P63">
        <v>566.96616454759442</v>
      </c>
      <c r="Q63">
        <f t="shared" si="19"/>
        <v>91.515853942386059</v>
      </c>
      <c r="R63">
        <f t="shared" si="20"/>
        <v>0.34379581946323129</v>
      </c>
      <c r="S63">
        <f t="shared" si="24"/>
        <v>34.05021754657232</v>
      </c>
      <c r="T63">
        <f t="shared" si="21"/>
        <v>2.6876731056773688</v>
      </c>
      <c r="U63">
        <v>4.9450172195639797E-2</v>
      </c>
      <c r="V63">
        <f t="shared" si="22"/>
        <v>9.0337189580422024</v>
      </c>
      <c r="W63">
        <f t="shared" si="23"/>
        <v>0.36168100756732813</v>
      </c>
    </row>
    <row r="64" spans="1:23" x14ac:dyDescent="0.3">
      <c r="A64">
        <v>2010</v>
      </c>
      <c r="B64">
        <v>415.58130864367303</v>
      </c>
      <c r="C64">
        <f t="shared" si="12"/>
        <v>3.6999999999999998E-2</v>
      </c>
      <c r="D64">
        <f t="shared" si="15"/>
        <v>29.423284532576929</v>
      </c>
      <c r="E64">
        <f t="shared" si="16"/>
        <v>0.30623364395676478</v>
      </c>
      <c r="F64">
        <v>6956824</v>
      </c>
      <c r="G64">
        <v>6.9568240000000001</v>
      </c>
      <c r="H64">
        <v>96.0811625803304</v>
      </c>
      <c r="I64">
        <v>9.0429999999999993</v>
      </c>
      <c r="J64">
        <v>0.90988016463802623</v>
      </c>
      <c r="K64">
        <v>0.92333333333333334</v>
      </c>
      <c r="L64">
        <f t="shared" si="13"/>
        <v>0.92333333333333334</v>
      </c>
      <c r="M64">
        <f t="shared" si="17"/>
        <v>2.0120048888888891E-3</v>
      </c>
      <c r="N64">
        <f t="shared" si="18"/>
        <v>2.0109064105751084E-3</v>
      </c>
      <c r="O64">
        <v>2.0756778900467766E-2</v>
      </c>
      <c r="P64">
        <v>564.10255452234401</v>
      </c>
      <c r="Q64">
        <f t="shared" si="19"/>
        <v>96.275065605548548</v>
      </c>
      <c r="R64">
        <f t="shared" si="20"/>
        <v>0.34415507059483574</v>
      </c>
      <c r="S64">
        <f t="shared" si="24"/>
        <v>34.730540166425854</v>
      </c>
      <c r="T64">
        <f t="shared" si="21"/>
        <v>2.7720578241572533</v>
      </c>
      <c r="U64">
        <v>2.0756778900467766E-2</v>
      </c>
      <c r="V64">
        <f t="shared" si="22"/>
        <v>9.2346822578421008</v>
      </c>
      <c r="W64">
        <f t="shared" si="23"/>
        <v>0.351450041398709</v>
      </c>
    </row>
    <row r="65" spans="1:23" x14ac:dyDescent="0.3">
      <c r="A65">
        <v>2011</v>
      </c>
      <c r="B65">
        <v>429.62808475643402</v>
      </c>
      <c r="C65">
        <f t="shared" si="12"/>
        <v>3.6999999999999998E-2</v>
      </c>
      <c r="D65">
        <f t="shared" si="15"/>
        <v>30.454413625539075</v>
      </c>
      <c r="E65">
        <f t="shared" si="16"/>
        <v>0.30550880167378802</v>
      </c>
      <c r="F65">
        <v>7041194</v>
      </c>
      <c r="G65">
        <v>7.041194</v>
      </c>
      <c r="H65">
        <v>99.684243002783504</v>
      </c>
      <c r="I65">
        <v>9.3369999999999997</v>
      </c>
      <c r="J65">
        <v>0.93311350852943609</v>
      </c>
      <c r="K65">
        <v>0.78666666666666663</v>
      </c>
      <c r="L65">
        <f t="shared" si="13"/>
        <v>0.78666666666666663</v>
      </c>
      <c r="M65">
        <f t="shared" si="17"/>
        <v>1.4604728888888889E-3</v>
      </c>
      <c r="N65">
        <f t="shared" si="18"/>
        <v>1.4593392252195692E-3</v>
      </c>
      <c r="O65">
        <v>1.7461219221452069E-2</v>
      </c>
      <c r="P65">
        <v>561.25340790406472</v>
      </c>
      <c r="Q65">
        <f t="shared" si="19"/>
        <v>99.830127515418184</v>
      </c>
      <c r="R65">
        <f t="shared" si="20"/>
        <v>0.34268981570434581</v>
      </c>
      <c r="S65">
        <f t="shared" si="24"/>
        <v>35.445751741123992</v>
      </c>
      <c r="T65">
        <f t="shared" si="21"/>
        <v>2.816420095827612</v>
      </c>
      <c r="U65">
        <v>1.7461219221452069E-2</v>
      </c>
      <c r="V65">
        <f t="shared" si="22"/>
        <v>9.5029327927407721</v>
      </c>
      <c r="W65">
        <f t="shared" si="23"/>
        <v>0.34877993867356966</v>
      </c>
    </row>
    <row r="66" spans="1:23" x14ac:dyDescent="0.3">
      <c r="A66">
        <v>2012</v>
      </c>
      <c r="B66">
        <v>444.18625924598501</v>
      </c>
      <c r="C66">
        <f t="shared" si="12"/>
        <v>3.6999999999999998E-2</v>
      </c>
      <c r="D66">
        <f t="shared" si="15"/>
        <v>31.398167058638421</v>
      </c>
      <c r="E66">
        <f t="shared" si="16"/>
        <v>0.30745816481346938</v>
      </c>
      <c r="F66">
        <v>7125828</v>
      </c>
      <c r="G66">
        <v>7.1258280000000003</v>
      </c>
      <c r="H66">
        <v>102.12175395533001</v>
      </c>
      <c r="I66">
        <v>9.4870000000000001</v>
      </c>
      <c r="J66">
        <v>0.95643943160859612</v>
      </c>
      <c r="K66">
        <v>0.83333333333333337</v>
      </c>
      <c r="L66">
        <f t="shared" si="13"/>
        <v>0.83333333333333337</v>
      </c>
      <c r="M66">
        <f t="shared" si="17"/>
        <v>1.6388888888888892E-3</v>
      </c>
      <c r="N66">
        <f t="shared" si="18"/>
        <v>1.6376783324095756E-3</v>
      </c>
      <c r="O66">
        <v>2.8493809288139289E-2</v>
      </c>
      <c r="P66">
        <v>558.41865164155911</v>
      </c>
      <c r="Q66">
        <f t="shared" si="19"/>
        <v>102.28998889382395</v>
      </c>
      <c r="R66">
        <f t="shared" si="20"/>
        <v>0.33982179855431344</v>
      </c>
      <c r="S66">
        <f t="shared" si="24"/>
        <v>36.17452520325768</v>
      </c>
      <c r="T66">
        <f t="shared" si="21"/>
        <v>2.8276802064180866</v>
      </c>
      <c r="U66">
        <v>2.8493809288139289E-2</v>
      </c>
      <c r="V66">
        <f t="shared" si="22"/>
        <v>9.7652491468412599</v>
      </c>
      <c r="W66">
        <f t="shared" si="23"/>
        <v>0.34978860845478782</v>
      </c>
    </row>
    <row r="67" spans="1:23" x14ac:dyDescent="0.3">
      <c r="A67">
        <v>2013</v>
      </c>
      <c r="B67">
        <v>459.14953471252198</v>
      </c>
      <c r="C67">
        <f t="shared" si="12"/>
        <v>3.6999999999999998E-2</v>
      </c>
      <c r="D67">
        <f t="shared" si="15"/>
        <v>32.527888353102355</v>
      </c>
      <c r="E67">
        <f t="shared" si="16"/>
        <v>0.30840815110267777</v>
      </c>
      <c r="F67">
        <v>7210582</v>
      </c>
      <c r="G67">
        <v>7.2105819999999996</v>
      </c>
      <c r="H67">
        <v>105.47026152455</v>
      </c>
      <c r="I67">
        <v>9.5489999999999995</v>
      </c>
      <c r="J67">
        <v>0.97990149508502611</v>
      </c>
      <c r="K67">
        <v>0.87333333333333341</v>
      </c>
      <c r="L67">
        <f t="shared" si="13"/>
        <v>0.87333333333333341</v>
      </c>
      <c r="M67">
        <f t="shared" si="17"/>
        <v>1.7999982222222225E-3</v>
      </c>
      <c r="N67">
        <f t="shared" si="18"/>
        <v>1.7987835115779172E-3</v>
      </c>
      <c r="O67">
        <v>4.8708155563125931E-2</v>
      </c>
      <c r="P67">
        <v>555.59821305259402</v>
      </c>
      <c r="Q67">
        <f t="shared" si="19"/>
        <v>105.66322056160639</v>
      </c>
      <c r="R67">
        <f t="shared" si="20"/>
        <v>0.33112312698817181</v>
      </c>
      <c r="S67">
        <f t="shared" si="24"/>
        <v>36.912706923069891</v>
      </c>
      <c r="T67">
        <f t="shared" si="21"/>
        <v>2.8625161731384283</v>
      </c>
      <c r="U67">
        <v>4.8708155563125931E-2</v>
      </c>
      <c r="V67">
        <f t="shared" si="22"/>
        <v>10.037929007635524</v>
      </c>
      <c r="W67">
        <f t="shared" si="23"/>
        <v>0.34807733181417438</v>
      </c>
    </row>
    <row r="68" spans="1:23" x14ac:dyDescent="0.3">
      <c r="A68">
        <v>2014</v>
      </c>
      <c r="B68">
        <v>474.68889028126102</v>
      </c>
      <c r="C68">
        <f t="shared" si="12"/>
        <v>3.6999999999999998E-2</v>
      </c>
      <c r="D68">
        <f t="shared" si="15"/>
        <v>33.724332961641664</v>
      </c>
      <c r="E68">
        <f t="shared" si="16"/>
        <v>0.30918314468621994</v>
      </c>
      <c r="F68">
        <v>7295291</v>
      </c>
      <c r="G68">
        <v>7.2952909999999997</v>
      </c>
      <c r="H68">
        <v>109.075586885137</v>
      </c>
      <c r="I68">
        <v>9.6189999999999998</v>
      </c>
      <c r="J68">
        <v>1.0035671808615361</v>
      </c>
      <c r="K68">
        <v>0.93666666666666665</v>
      </c>
      <c r="L68">
        <f t="shared" si="13"/>
        <v>0.93666666666666665</v>
      </c>
      <c r="M68">
        <f t="shared" si="17"/>
        <v>2.0705328888888886E-3</v>
      </c>
      <c r="N68">
        <f t="shared" si="18"/>
        <v>2.0694952694821911E-3</v>
      </c>
      <c r="O68">
        <v>6.6852033857039708E-2</v>
      </c>
      <c r="P68">
        <v>552.79201982203642</v>
      </c>
      <c r="Q68">
        <f t="shared" si="19"/>
        <v>109.30840662150113</v>
      </c>
      <c r="R68">
        <f t="shared" si="20"/>
        <v>0.32242731450691048</v>
      </c>
      <c r="S68">
        <f t="shared" si="24"/>
        <v>37.664899385318549</v>
      </c>
      <c r="T68">
        <f t="shared" si="21"/>
        <v>2.9021292610729397</v>
      </c>
      <c r="U68">
        <v>6.6852033857039708E-2</v>
      </c>
      <c r="V68">
        <f t="shared" si="22"/>
        <v>10.308118700358769</v>
      </c>
      <c r="W68">
        <f t="shared" si="23"/>
        <v>0.34552646118880775</v>
      </c>
    </row>
    <row r="69" spans="1:23" x14ac:dyDescent="0.3">
      <c r="A69">
        <v>2015</v>
      </c>
      <c r="B69">
        <v>490.84973430249602</v>
      </c>
      <c r="C69">
        <f t="shared" ref="C69:C73" si="25">$C$1</f>
        <v>3.6999999999999998E-2</v>
      </c>
      <c r="D69">
        <f t="shared" si="15"/>
        <v>34.749889622711351</v>
      </c>
      <c r="E69">
        <f t="shared" si="16"/>
        <v>0.30959778893594792</v>
      </c>
      <c r="F69">
        <v>7379797</v>
      </c>
      <c r="G69">
        <v>7.3797969999999999</v>
      </c>
      <c r="H69">
        <v>112.242047148149</v>
      </c>
      <c r="I69">
        <v>9.61</v>
      </c>
      <c r="J69">
        <v>1.027434738287726</v>
      </c>
      <c r="K69">
        <v>1.1133333333333333</v>
      </c>
      <c r="L69">
        <f t="shared" si="13"/>
        <v>1.1133333333333333</v>
      </c>
      <c r="M69">
        <f t="shared" si="17"/>
        <v>2.9252462222222222E-3</v>
      </c>
      <c r="N69">
        <f t="shared" si="18"/>
        <v>2.9271155691493744E-3</v>
      </c>
      <c r="O69">
        <v>9.2651435930135334E-2</v>
      </c>
      <c r="P69">
        <v>550</v>
      </c>
      <c r="Q69">
        <f t="shared" si="19"/>
        <v>112.5869442096317</v>
      </c>
      <c r="R69">
        <f t="shared" si="20"/>
        <v>0.31274532093560214</v>
      </c>
      <c r="S69">
        <f t="shared" si="24"/>
        <v>38.43157567736489</v>
      </c>
      <c r="T69">
        <f t="shared" si="21"/>
        <v>2.9295427581425506</v>
      </c>
      <c r="U69">
        <v>9.2651435930135334E-2</v>
      </c>
      <c r="V69">
        <f t="shared" si="22"/>
        <v>10.591299066915195</v>
      </c>
      <c r="W69">
        <f t="shared" si="23"/>
        <v>0.34468046054186641</v>
      </c>
    </row>
    <row r="70" spans="1:23" x14ac:dyDescent="0.3">
      <c r="A70">
        <v>2016</v>
      </c>
      <c r="B70">
        <v>507.43818375601501</v>
      </c>
      <c r="C70">
        <f t="shared" si="25"/>
        <v>3.6999999999999998E-2</v>
      </c>
      <c r="D70">
        <f t="shared" si="15"/>
        <v>36.24527528769562</v>
      </c>
      <c r="E70">
        <f t="shared" si="16"/>
        <v>0.31402336729070524</v>
      </c>
      <c r="F70">
        <v>7464022</v>
      </c>
      <c r="G70">
        <v>7.4640219999999999</v>
      </c>
      <c r="H70">
        <v>115.422223512882</v>
      </c>
      <c r="I70">
        <v>9.6129999999999995</v>
      </c>
      <c r="J70">
        <v>1.051493091978716</v>
      </c>
      <c r="K70">
        <v>1.1833333333333333</v>
      </c>
      <c r="L70">
        <f t="shared" si="13"/>
        <v>1.1833333333333333</v>
      </c>
      <c r="M70">
        <f t="shared" si="17"/>
        <v>3.3046555555555556E-3</v>
      </c>
      <c r="N70">
        <f t="shared" si="18"/>
        <v>3.3094635019453866E-3</v>
      </c>
      <c r="O70">
        <v>0.11546717107599519</v>
      </c>
      <c r="P70">
        <v>547.222082</v>
      </c>
      <c r="Q70">
        <f t="shared" si="19"/>
        <v>115.83263168236894</v>
      </c>
      <c r="R70">
        <f t="shared" si="20"/>
        <v>0.3040769383241182</v>
      </c>
      <c r="S70">
        <f t="shared" si="24"/>
        <v>39.206118027343749</v>
      </c>
      <c r="T70">
        <f t="shared" si="21"/>
        <v>2.9544529657739416</v>
      </c>
      <c r="U70">
        <v>0.11546717107599519</v>
      </c>
      <c r="V70">
        <f t="shared" si="22"/>
        <v>10.867883797703461</v>
      </c>
      <c r="W70">
        <f t="shared" si="23"/>
        <v>0.34377122971683749</v>
      </c>
    </row>
    <row r="71" spans="1:23" x14ac:dyDescent="0.3">
      <c r="A71">
        <v>2017</v>
      </c>
      <c r="B71">
        <v>524.90824624473805</v>
      </c>
      <c r="C71">
        <f t="shared" si="25"/>
        <v>3.6999999999999998E-2</v>
      </c>
      <c r="D71">
        <f t="shared" si="15"/>
        <v>37.872338560036269</v>
      </c>
      <c r="E71">
        <f t="shared" si="16"/>
        <v>0.31817804847649178</v>
      </c>
      <c r="F71">
        <v>7547859</v>
      </c>
      <c r="G71">
        <v>7.5478589999999999</v>
      </c>
      <c r="H71">
        <v>119.028759970644</v>
      </c>
      <c r="I71">
        <v>9.7420000000000009</v>
      </c>
      <c r="J71">
        <v>1.0757165335116061</v>
      </c>
      <c r="K71">
        <v>1.0833333333333333</v>
      </c>
      <c r="L71">
        <f t="shared" si="13"/>
        <v>1.0833333333333333</v>
      </c>
      <c r="M71">
        <f t="shared" si="17"/>
        <v>2.769722222222222E-3</v>
      </c>
      <c r="N71">
        <f t="shared" si="18"/>
        <v>2.7707230028737317E-3</v>
      </c>
      <c r="O71">
        <v>0.12647165636326321</v>
      </c>
      <c r="P71">
        <v>544.45819459711765</v>
      </c>
      <c r="Q71">
        <f t="shared" si="19"/>
        <v>119.39414426109587</v>
      </c>
      <c r="R71">
        <f t="shared" si="20"/>
        <v>0.29896514792167228</v>
      </c>
      <c r="S71">
        <f t="shared" si="24"/>
        <v>40.001550798867889</v>
      </c>
      <c r="T71">
        <f t="shared" si="21"/>
        <v>2.9847378883239428</v>
      </c>
      <c r="U71">
        <v>0.12647165636326321</v>
      </c>
      <c r="V71">
        <f t="shared" si="22"/>
        <v>11.152471549396322</v>
      </c>
      <c r="W71">
        <f t="shared" si="23"/>
        <v>0.34225008278151431</v>
      </c>
    </row>
    <row r="72" spans="1:23" x14ac:dyDescent="0.3">
      <c r="A72">
        <v>2018</v>
      </c>
      <c r="B72">
        <v>543.35897969371899</v>
      </c>
      <c r="C72">
        <f t="shared" si="25"/>
        <v>3.6999999999999998E-2</v>
      </c>
      <c r="D72">
        <f t="shared" si="15"/>
        <v>38.765950440847632</v>
      </c>
      <c r="E72">
        <f t="shared" si="16"/>
        <v>0.31761427164087425</v>
      </c>
      <c r="F72">
        <v>7631091</v>
      </c>
      <c r="G72">
        <v>7.6310909999999996</v>
      </c>
      <c r="H72">
        <v>122.053553326093</v>
      </c>
      <c r="I72">
        <v>9.94</v>
      </c>
      <c r="J72">
        <v>1.100134407600466</v>
      </c>
      <c r="K72">
        <v>1.0066666666666666</v>
      </c>
      <c r="L72">
        <f t="shared" si="13"/>
        <v>1.0066666666666666</v>
      </c>
      <c r="M72">
        <f t="shared" si="17"/>
        <v>2.3915715555555554E-3</v>
      </c>
      <c r="N72">
        <f t="shared" si="18"/>
        <v>2.3911373417441206E-3</v>
      </c>
      <c r="O72">
        <v>0.12974923551941558</v>
      </c>
      <c r="P72">
        <v>541.70826692617425</v>
      </c>
      <c r="Q72">
        <f t="shared" si="19"/>
        <v>122.38370470320471</v>
      </c>
      <c r="R72">
        <f t="shared" si="20"/>
        <v>0.29758994539610722</v>
      </c>
      <c r="S72">
        <f t="shared" si="24"/>
        <v>40.819304433484334</v>
      </c>
      <c r="T72">
        <f t="shared" si="21"/>
        <v>2.9981820220045834</v>
      </c>
      <c r="U72">
        <v>0.12974923551941558</v>
      </c>
      <c r="V72">
        <f t="shared" si="22"/>
        <v>11.421995137151947</v>
      </c>
      <c r="W72">
        <f t="shared" si="23"/>
        <v>0.34195884398185616</v>
      </c>
    </row>
    <row r="73" spans="1:23" x14ac:dyDescent="0.3">
      <c r="A73">
        <v>2019</v>
      </c>
      <c r="B73">
        <v>562.02064788589905</v>
      </c>
      <c r="C73">
        <f t="shared" si="25"/>
        <v>3.6999999999999998E-2</v>
      </c>
      <c r="F73">
        <v>7713468</v>
      </c>
      <c r="G73">
        <v>7.7134679999999998</v>
      </c>
      <c r="H73">
        <v>124.91422970255699</v>
      </c>
      <c r="I73">
        <v>9.9456222159236809</v>
      </c>
      <c r="K73">
        <v>1.1366666666666667</v>
      </c>
      <c r="L73">
        <f t="shared" si="13"/>
        <v>1.1366666666666667</v>
      </c>
      <c r="M73">
        <f t="shared" si="17"/>
        <v>3.0491462222222228E-3</v>
      </c>
      <c r="N73">
        <f t="shared" si="18"/>
        <v>3.0518405761902345E-3</v>
      </c>
      <c r="O73">
        <v>0.14938161323502655</v>
      </c>
      <c r="P73">
        <v>538.97222847991418</v>
      </c>
      <c r="Q73">
        <f t="shared" si="19"/>
        <v>125.35065065687377</v>
      </c>
      <c r="R73">
        <f t="shared" si="20"/>
        <v>0.29071057555891583</v>
      </c>
      <c r="S73">
        <f t="shared" si="24"/>
        <v>41.635224669713082</v>
      </c>
      <c r="T73">
        <f t="shared" si="21"/>
        <v>3.0106875044211834</v>
      </c>
      <c r="U73">
        <v>0.14938161323502655</v>
      </c>
    </row>
    <row r="75" spans="1:23" x14ac:dyDescent="0.3">
      <c r="Q75">
        <f>B72/Q72</f>
        <v>4.4397984275065889</v>
      </c>
    </row>
    <row r="76" spans="1:23" x14ac:dyDescent="0.3">
      <c r="Q76">
        <f>1/Q75</f>
        <v>0.22523545073680395</v>
      </c>
    </row>
    <row r="77" spans="1:23" x14ac:dyDescent="0.3">
      <c r="Q77">
        <f>Q76*T1</f>
        <v>8.8547488454511949E-2</v>
      </c>
      <c r="R77">
        <f>Q76*0.3</f>
        <v>6.7570635221041189E-2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Nordhaus</vt:lpstr>
      <vt:lpstr>Howard_Sterner</vt:lpstr>
      <vt:lpstr>Weitzman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wilmsen</dc:creator>
  <cp:lastModifiedBy>Rickels, Wilfried</cp:lastModifiedBy>
  <dcterms:created xsi:type="dcterms:W3CDTF">2021-04-24T21:03:46Z</dcterms:created>
  <dcterms:modified xsi:type="dcterms:W3CDTF">2021-09-19T21:38:30Z</dcterms:modified>
</cp:coreProperties>
</file>